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amp; KPIs" sheetId="1" state="visible" r:id="rId1"/>
    <sheet xmlns:r="http://schemas.openxmlformats.org/officeDocument/2006/relationships" name="Product Backlog" sheetId="2" state="visible" r:id="rId2"/>
    <sheet xmlns:r="http://schemas.openxmlformats.org/officeDocument/2006/relationships" name="Planificación de Sprints" sheetId="3" state="visible" r:id="rId3"/>
    <sheet xmlns:r="http://schemas.openxmlformats.org/officeDocument/2006/relationships" name="Gobernanza" sheetId="4" state="visible" r:id="rId4"/>
    <sheet xmlns:r="http://schemas.openxmlformats.org/officeDocument/2006/relationships" name="Evidencias y Certificacion" sheetId="5" state="visible" r:id="rId5"/>
  </sheets>
  <definedNames/>
  <calcPr calcId="124519" fullCalcOnLoad="1"/>
</workbook>
</file>

<file path=xl/styles.xml><?xml version="1.0" encoding="utf-8"?>
<styleSheet xmlns="http://schemas.openxmlformats.org/spreadsheetml/2006/main">
  <numFmts count="2">
    <numFmt numFmtId="164" formatCode="d.m"/>
    <numFmt numFmtId="165" formatCode="0.0%"/>
  </numFmts>
  <fonts count="11">
    <font>
      <name val="Arial"/>
      <color rgb="FF000000"/>
      <sz val="10"/>
      <scheme val="minor"/>
    </font>
    <font>
      <name val="Montserrat"/>
      <b val="1"/>
      <color rgb="FFFFFFFF"/>
      <sz val="11"/>
    </font>
    <font>
      <name val="Roboto"/>
      <color rgb="FF181C1F"/>
      <sz val="10"/>
    </font>
    <font>
      <name val="Arial"/>
      <color theme="1"/>
      <scheme val="minor"/>
    </font>
    <font>
      <name val="Calibri"/>
      <b val="1"/>
      <color rgb="00366092"/>
      <sz val="11"/>
    </font>
    <font>
      <name val="Calibri"/>
      <b val="1"/>
      <color rgb="000563C1"/>
      <sz val="9"/>
      <u val="single"/>
    </font>
    <font>
      <name val="Calibri"/>
      <b val="1"/>
      <color rgb="00000000"/>
      <sz val="9"/>
    </font>
    <font>
      <name val="Calibri"/>
      <b val="1"/>
      <color rgb="00375623"/>
      <sz val="9"/>
    </font>
    <font>
      <name val="Calibri"/>
      <b val="1"/>
      <color rgb="00FFFFFF"/>
      <sz val="10"/>
    </font>
    <font>
      <name val="Calibri"/>
      <color rgb="00000000"/>
      <sz val="9"/>
    </font>
    <font>
      <name val="Calibri"/>
      <b val="1"/>
      <color rgb="001F497D"/>
      <sz val="14"/>
    </font>
  </fonts>
  <fills count="6">
    <fill>
      <patternFill/>
    </fill>
    <fill>
      <patternFill patternType="lightGray"/>
    </fill>
    <fill>
      <patternFill patternType="solid">
        <fgColor rgb="FF3B5F90"/>
        <bgColor rgb="FF3B5F90"/>
      </patternFill>
    </fill>
    <fill>
      <patternFill patternType="solid">
        <fgColor rgb="00E2EFDA"/>
        <bgColor rgb="00E2EFDA"/>
      </patternFill>
    </fill>
    <fill>
      <patternFill patternType="solid">
        <fgColor rgb="001F497D"/>
        <bgColor rgb="001F497D"/>
      </patternFill>
    </fill>
    <fill>
      <patternFill patternType="solid">
        <fgColor rgb="00005C53"/>
        <bgColor rgb="00005C53"/>
      </patternFill>
    </fill>
  </fills>
  <borders count="2">
    <border/>
    <border>
      <left style="thin">
        <color rgb="FF74777E"/>
      </left>
      <right style="thin">
        <color rgb="FF74777E"/>
      </right>
      <top style="thin">
        <color rgb="FF74777E"/>
      </top>
      <bottom style="thin">
        <color rgb="FF74777E"/>
      </bottom>
    </border>
  </borders>
  <cellStyleXfs count="1">
    <xf numFmtId="0" fontId="0" fillId="0" borderId="0"/>
  </cellStyleXfs>
  <cellXfs count="29">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0" borderId="0" applyAlignment="1" pivotButton="0" quotePrefix="0" xfId="0">
      <alignment vertical="top" wrapText="1"/>
    </xf>
    <xf numFmtId="164" fontId="2" fillId="0" borderId="0" applyAlignment="1" pivotButton="0" quotePrefix="0" xfId="0">
      <alignment vertical="top" wrapText="1"/>
    </xf>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wrapText="1"/>
    </xf>
    <xf numFmtId="165" fontId="2" fillId="0" borderId="1" applyAlignment="1" pivotButton="0" quotePrefix="0" xfId="0">
      <alignment vertical="top" wrapText="1"/>
    </xf>
    <xf numFmtId="165" fontId="2" fillId="0" borderId="0" applyAlignment="1" pivotButton="0" quotePrefix="0" xfId="0">
      <alignment vertical="top" wrapText="1"/>
    </xf>
    <xf numFmtId="0" fontId="3" fillId="0" borderId="0" pivotButton="0" quotePrefix="0" xfId="0"/>
    <xf numFmtId="165" fontId="3" fillId="0" borderId="0" pivotButton="0" quotePrefix="0" xfId="0"/>
    <xf numFmtId="0" fontId="0" fillId="0" borderId="0" pivotButton="0" quotePrefix="0" xfId="0"/>
    <xf numFmtId="0" fontId="4" fillId="0" borderId="0" pivotButton="0" quotePrefix="0" xfId="0"/>
    <xf numFmtId="0" fontId="5" fillId="0" borderId="0" applyAlignment="1" pivotButton="0" quotePrefix="0" xfId="0">
      <alignment horizontal="center"/>
    </xf>
    <xf numFmtId="0" fontId="6" fillId="0" borderId="0" pivotButton="0" quotePrefix="0" xfId="0"/>
    <xf numFmtId="0" fontId="7" fillId="3" borderId="0" pivotButton="0" quotePrefix="0" xfId="0"/>
    <xf numFmtId="0" fontId="8" fillId="4" borderId="0" applyAlignment="1" pivotButton="0" quotePrefix="0" xfId="0">
      <alignment horizontal="center"/>
    </xf>
    <xf numFmtId="0" fontId="9" fillId="0" borderId="0" pivotButton="0" quotePrefix="0" xfId="0"/>
    <xf numFmtId="0" fontId="8" fillId="4" borderId="0" pivotButton="0" quotePrefix="0" xfId="0"/>
    <xf numFmtId="0" fontId="10" fillId="0" borderId="0" pivotButton="0" quotePrefix="0" xfId="0"/>
    <xf numFmtId="0" fontId="5" fillId="0" borderId="0" pivotButton="0" quotePrefix="0" xfId="0"/>
    <xf numFmtId="0" fontId="8" fillId="4" borderId="0" applyAlignment="1" pivotButton="0" quotePrefix="0" xfId="0">
      <alignment horizontal="center" vertical="center" wrapText="1"/>
    </xf>
    <xf numFmtId="0" fontId="9" fillId="0" borderId="0" applyAlignment="1" pivotButton="0" quotePrefix="0" xfId="0">
      <alignment horizontal="center"/>
    </xf>
    <xf numFmtId="0" fontId="7" fillId="3" borderId="0" applyAlignment="1" pivotButton="0" quotePrefix="0" xfId="0">
      <alignment horizontal="center"/>
    </xf>
    <xf numFmtId="0" fontId="8" fillId="5" borderId="0" applyAlignment="1" pivotButton="0" quotePrefix="0" xfId="0">
      <alignment horizontal="center"/>
    </xf>
    <xf numFmtId="0" fontId="6" fillId="0" borderId="0" applyAlignment="1" pivotButton="0" quotePrefix="0" xfId="0">
      <alignment horizontal="center"/>
    </xf>
    <xf numFmtId="0" fontId="5" fillId="0" borderId="0" applyAlignment="1" pivotButton="0" quotePrefix="0" xfId="0">
      <alignment vertical="top" wrapText="1"/>
    </xf>
    <xf numFmtId="0" fontId="5" fillId="0" borderId="1" applyAlignment="1" pivotButton="0" quotePrefix="0" xfId="0">
      <alignment vertical="top" wrapText="1"/>
    </xf>
  </cellXfs>
  <cellStyles count="1">
    <cellStyle name="Normal" xfId="0" builtinId="0"/>
  </cellStyles>
  <dxfs count="3">
    <dxf>
      <font/>
      <fill>
        <patternFill/>
      </fill>
      <border/>
    </dxf>
    <dxf>
      <font/>
      <fill>
        <patternFill patternType="solid">
          <fgColor rgb="FFF8F8FF"/>
          <bgColor rgb="FFF8F8FF"/>
        </patternFill>
      </fill>
      <border/>
    </dxf>
    <dxf>
      <font/>
      <fill>
        <patternFill patternType="solid">
          <fgColor rgb="FFFFFFFF"/>
          <bgColor rgb="FFFFFFFF"/>
        </patternFill>
      </fill>
      <border/>
    </dxf>
  </dxfs>
  <tableStyles count="2" defaultTableStyle="TableStyleMedium9" defaultPivotStyle="PivotStyleLight16">
    <tableStyle name="Product Backlog-style" pivot="0" count="2">
      <tableStyleElement type="firstRowStripe" dxfId="1"/>
      <tableStyleElement type="secondRowStripe" dxfId="2"/>
    </tableStyle>
    <tableStyle name="Planificación de Sprints-style" pivot="0" count="2">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aProductBacklog" displayName="TablaProductBacklog" ref="A1:R26" headerRowCount="1">
  <autoFilter ref="A1:R26"/>
  <tableColumns count="18">
    <tableColumn id="1" name="ID"/>
    <tableColumn id="2" name="Tipo"/>
    <tableColumn id="3" name="Epica / Modulo"/>
    <tableColumn id="4" name="Titulo del Requerimiento"/>
    <tableColumn id="5" name="Descripcion Integra / Historia de Usuario"/>
    <tableColumn id="6" name="Criterio de Aceptacion (Gherkin / Verificacion)"/>
    <tableColumn id="7" name="Actor / Rol"/>
    <tableColumn id="8" name="Componente Tecnico"/>
    <tableColumn id="9" name="Prioridad"/>
    <tableColumn id="10" name="Complejidad (Fibonacci SP)"/>
    <tableColumn id="11" name="Sprint Asignado"/>
    <tableColumn id="12" name="Estado"/>
    <tableColumn id="13" name="% Avance"/>
    <tableColumn id="14" name="Responsable"/>
    <tableColumn id="15" name="Notas / Dependencias"/>
    <tableColumn id="16" name="Evidencia de Codigo"/>
    <tableColumn id="17" name="Prueba Automatizada"/>
    <tableColumn id="18" name="Referencia Certificacion"/>
  </tableColumns>
  <tableStyleInfo name="TableStyleMedium9" showRowStripes="1"/>
</table>
</file>

<file path=xl/tables/table2.xml><?xml version="1.0" encoding="utf-8"?>
<table xmlns="http://schemas.openxmlformats.org/spreadsheetml/2006/main" id="2" name="TablaPlanificacionSprints" displayName="TablaPlanificacionSprints" ref="A1:H5" headerRowCount="1">
  <autoFilter ref="A1:H5"/>
  <tableColumns count="8">
    <tableColumn id="1" name="Sprint"/>
    <tableColumn id="2" name="Objetivo del Sprint"/>
    <tableColumn id="3" name="Cantidad de Requerimientos"/>
    <tableColumn id="4" name="Total Story Points"/>
    <tableColumn id="5" name="Story Points Completados"/>
    <tableColumn id="6" name="Capacidad Restante"/>
    <tableColumn id="7" name="% de Completitud"/>
    <tableColumn id="8" name="Navegacion Interna a Backlog / Evidencias"/>
  </tableColumns>
  <tableStyleInfo name="TableStyleMedium9" showRowStripes="1"/>
</table>
</file>

<file path=xl/tables/table3.xml><?xml version="1.0" encoding="utf-8"?>
<table xmlns="http://schemas.openxmlformats.org/spreadsheetml/2006/main" id="3" name="TablaEquipoOficialScrum" displayName="TablaEquipoOficialScrum" ref="A26:D32" headerRowCount="1">
  <autoFilter ref="A26:D32"/>
  <tableColumns count="4">
    <tableColumn id="1" name="Rol / Funcion Oficial"/>
    <tableColumn id="2" name="Titular Asignado"/>
    <tableColumn id="3" name="Especializacion y Responsabilidades"/>
    <tableColumn id="4" name="Tareas en Backlog"/>
  </tableColumns>
  <tableStyleInfo name="TableStyleMedium2" showRowStripes="1"/>
</table>
</file>

<file path=xl/tables/table4.xml><?xml version="1.0" encoding="utf-8"?>
<table xmlns="http://schemas.openxmlformats.org/spreadsheetml/2006/main" id="4" name="TablaEvidenciasSprint1" displayName="TablaEvidenciasSprint1" ref="A10:K17" headerRowCount="1">
  <autoFilter ref="A10:K17"/>
  <tableColumns count="11">
    <tableColumn id="1" name="ID"/>
    <tableColumn id="2" name="Tipo"/>
    <tableColumn id="3" name="Requerimiento"/>
    <tableColumn id="4" name="Responsable Oficial"/>
    <tableColumn id="5" name="SP"/>
    <tableColumn id="6" name="Estado"/>
    <tableColumn id="7" name="Criterio Tecnico Cumplido (Gherkin / DoD)"/>
    <tableColumn id="8" name="Evidencia de Codigo"/>
    <tableColumn id="9" name="Prueba Automatizada"/>
    <tableColumn id="10" name="Dictamen"/>
    <tableColumn id="11" name="Enlace a Backlog"/>
  </tableColumns>
  <tableStyleInfo name="TableStyleMedium2" showRowStripes="1"/>
</table>
</file>

<file path=xl/tables/table5.xml><?xml version="1.0" encoding="utf-8"?>
<table xmlns="http://schemas.openxmlformats.org/spreadsheetml/2006/main" id="5" name="TablaPruebasSprint1" displayName="TablaPruebasSprint1" ref="A21:G27" headerRowCount="1">
  <autoFilter ref="A21:G27"/>
  <tableColumns count="7">
    <tableColumn id="1" name="Modulo / Componente"/>
    <tableColumn id="2" name="Capa Arquitectural"/>
    <tableColumn id="3" name="Archivo de Prueba"/>
    <tableColumn id="4" name="Total Tests"/>
    <tableColumn id="5" name="Pasados"/>
    <tableColumn id="6" name="Fallidos"/>
    <tableColumn id="7" name="Tasa Exito"/>
  </tableColumns>
  <tableStyleInfo name="TableStyleLight1" showRowStripes="1"/>
</table>
</file>

<file path=xl/tables/table6.xml><?xml version="1.0" encoding="utf-8"?>
<table xmlns="http://schemas.openxmlformats.org/spreadsheetml/2006/main" id="6" name="TablaBuildSprint1" displayName="TablaBuildSprint1" ref="A30:F34" headerRowCount="1">
  <autoFilter ref="A30:F34"/>
  <tableColumns count="6">
    <tableColumn id="1" name="Artefacto"/>
    <tableColumn id="2" name="Ruta de Salida"/>
    <tableColumn id="3" name="Tamano"/>
    <tableColumn id="4" name="Tamano Gzip"/>
    <tableColumn id="5" name="Modulos"/>
    <tableColumn id="6" name="Estado"/>
  </tableColumns>
  <tableStyleInfo name="TableStyleLight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Product Backlog'!A1" TargetMode="External" Id="rId1"/><Relationship Type="http://schemas.openxmlformats.org/officeDocument/2006/relationships/hyperlink" Target="#'Evidencias y Certificacion'!A1" TargetMode="External" Id="rId2"/><Relationship Type="http://schemas.openxmlformats.org/officeDocument/2006/relationships/hyperlink" Target="#'Product Backlog'!A1" TargetMode="External" Id="rId3"/><Relationship Type="http://schemas.openxmlformats.org/officeDocument/2006/relationships/hyperlink" Target="#'Planificaci&#243;n de Sprints'!A1" TargetMode="External" Id="rId4"/><Relationship Type="http://schemas.openxmlformats.org/officeDocument/2006/relationships/hyperlink" Target="#'Evidencias y Certificacion'!A1" TargetMode="External" Id="rId5"/><Relationship Type="http://schemas.openxmlformats.org/officeDocument/2006/relationships/hyperlink" Target="#'Gobernanza'!A1" TargetMode="External" Id="rId6"/><Relationship Type="http://schemas.openxmlformats.org/officeDocument/2006/relationships/hyperlink" Target="#'Evidencias y Certificacion'!A20" TargetMode="External" Id="rId7"/><Relationship Type="http://schemas.openxmlformats.org/officeDocument/2006/relationships/hyperlink" Target="#'Evidencias y Certificacion'!A29" TargetMode="External" Id="rId8"/><Relationship Type="http://schemas.openxmlformats.org/officeDocument/2006/relationships/hyperlink" Target="#'Evidencias y Certificacion'!A1" TargetMode="External" Id="rId9"/><Relationship Type="http://schemas.openxmlformats.org/officeDocument/2006/relationships/hyperlink" Target="#'Evidencias y Certificacion'!A20" TargetMode="External" Id="rId10"/><Relationship Type="http://schemas.openxmlformats.org/officeDocument/2006/relationships/hyperlink" Target="#'Evidencias y Certificacion'!A29" TargetMode="External" Id="rId11"/></Relationships>
</file>

<file path=xl/worksheets/_rels/sheet2.xml.rels><Relationships xmlns="http://schemas.openxmlformats.org/package/2006/relationships"><Relationship Type="http://schemas.openxmlformats.org/officeDocument/2006/relationships/hyperlink" Target="#'Evidencias y Certificacion'!A11" TargetMode="External" Id="rId1"/><Relationship Type="http://schemas.openxmlformats.org/officeDocument/2006/relationships/hyperlink" Target="#'Planificaci&#243;n de Sprints'!A2" TargetMode="External" Id="rId2"/><Relationship Type="http://schemas.openxmlformats.org/officeDocument/2006/relationships/hyperlink" Target="#'Gobernanza'!A28" TargetMode="External" Id="rId3"/><Relationship Type="http://schemas.openxmlformats.org/officeDocument/2006/relationships/hyperlink" Target="#'Evidencias y Certificacion'!A11" TargetMode="External" Id="rId4"/><Relationship Type="http://schemas.openxmlformats.org/officeDocument/2006/relationships/hyperlink" Target="#'Planificaci&#243;n de Sprints'!A4" TargetMode="External" Id="rId5"/><Relationship Type="http://schemas.openxmlformats.org/officeDocument/2006/relationships/hyperlink" Target="#'Gobernanza'!A30" TargetMode="External" Id="rId6"/><Relationship Type="http://schemas.openxmlformats.org/officeDocument/2006/relationships/hyperlink" Target="#'Evidencias y Certificacion'!A1" TargetMode="External" Id="rId7"/><Relationship Type="http://schemas.openxmlformats.org/officeDocument/2006/relationships/hyperlink" Target="#'Planificaci&#243;n de Sprints'!A3" TargetMode="External" Id="rId8"/><Relationship Type="http://schemas.openxmlformats.org/officeDocument/2006/relationships/hyperlink" Target="#'Gobernanza'!A29" TargetMode="External" Id="rId9"/><Relationship Type="http://schemas.openxmlformats.org/officeDocument/2006/relationships/hyperlink" Target="#'Evidencias y Certificacion'!A1" TargetMode="External" Id="rId10"/><Relationship Type="http://schemas.openxmlformats.org/officeDocument/2006/relationships/hyperlink" Target="#'Planificaci&#243;n de Sprints'!A4" TargetMode="External" Id="rId11"/><Relationship Type="http://schemas.openxmlformats.org/officeDocument/2006/relationships/hyperlink" Target="#'Gobernanza'!A29" TargetMode="External" Id="rId12"/><Relationship Type="http://schemas.openxmlformats.org/officeDocument/2006/relationships/hyperlink" Target="#'Evidencias y Certificacion'!A1" TargetMode="External" Id="rId13"/><Relationship Type="http://schemas.openxmlformats.org/officeDocument/2006/relationships/hyperlink" Target="#'Evidencias y Certificacion'!A12" TargetMode="External" Id="rId14"/><Relationship Type="http://schemas.openxmlformats.org/officeDocument/2006/relationships/hyperlink" Target="#'Planificaci&#243;n de Sprints'!A2" TargetMode="External" Id="rId15"/><Relationship Type="http://schemas.openxmlformats.org/officeDocument/2006/relationships/hyperlink" Target="#'Gobernanza'!A28" TargetMode="External" Id="rId16"/><Relationship Type="http://schemas.openxmlformats.org/officeDocument/2006/relationships/hyperlink" Target="#'Evidencias y Certificacion'!A12" TargetMode="External" Id="rId17"/><Relationship Type="http://schemas.openxmlformats.org/officeDocument/2006/relationships/hyperlink" Target="#'Evidencias y Certificacion'!A13" TargetMode="External" Id="rId18"/><Relationship Type="http://schemas.openxmlformats.org/officeDocument/2006/relationships/hyperlink" Target="#'Planificaci&#243;n de Sprints'!A2" TargetMode="External" Id="rId19"/><Relationship Type="http://schemas.openxmlformats.org/officeDocument/2006/relationships/hyperlink" Target="#'Gobernanza'!A28" TargetMode="External" Id="rId20"/><Relationship Type="http://schemas.openxmlformats.org/officeDocument/2006/relationships/hyperlink" Target="#'Evidencias y Certificacion'!A13" TargetMode="External" Id="rId21"/><Relationship Type="http://schemas.openxmlformats.org/officeDocument/2006/relationships/hyperlink" Target="#'Evidencias y Certificacion'!A14" TargetMode="External" Id="rId22"/><Relationship Type="http://schemas.openxmlformats.org/officeDocument/2006/relationships/hyperlink" Target="#'Planificaci&#243;n de Sprints'!A2" TargetMode="External" Id="rId23"/><Relationship Type="http://schemas.openxmlformats.org/officeDocument/2006/relationships/hyperlink" Target="#'Gobernanza'!A29" TargetMode="External" Id="rId24"/><Relationship Type="http://schemas.openxmlformats.org/officeDocument/2006/relationships/hyperlink" Target="#'Evidencias y Certificacion'!A14" TargetMode="External" Id="rId25"/><Relationship Type="http://schemas.openxmlformats.org/officeDocument/2006/relationships/hyperlink" Target="#'Evidencias y Certificacion'!A15" TargetMode="External" Id="rId26"/><Relationship Type="http://schemas.openxmlformats.org/officeDocument/2006/relationships/hyperlink" Target="#'Planificaci&#243;n de Sprints'!A2" TargetMode="External" Id="rId27"/><Relationship Type="http://schemas.openxmlformats.org/officeDocument/2006/relationships/hyperlink" Target="#'Gobernanza'!A28" TargetMode="External" Id="rId28"/><Relationship Type="http://schemas.openxmlformats.org/officeDocument/2006/relationships/hyperlink" Target="#'Evidencias y Certificacion'!A15" TargetMode="External" Id="rId29"/><Relationship Type="http://schemas.openxmlformats.org/officeDocument/2006/relationships/hyperlink" Target="#'Planificaci&#243;n de Sprints'!A4" TargetMode="External" Id="rId30"/><Relationship Type="http://schemas.openxmlformats.org/officeDocument/2006/relationships/hyperlink" Target="#'Gobernanza'!A28" TargetMode="External" Id="rId31"/><Relationship Type="http://schemas.openxmlformats.org/officeDocument/2006/relationships/hyperlink" Target="#'Evidencias y Certificacion'!A1" TargetMode="External" Id="rId32"/><Relationship Type="http://schemas.openxmlformats.org/officeDocument/2006/relationships/hyperlink" Target="#'Planificaci&#243;n de Sprints'!A4" TargetMode="External" Id="rId33"/><Relationship Type="http://schemas.openxmlformats.org/officeDocument/2006/relationships/hyperlink" Target="#'Gobernanza'!A30" TargetMode="External" Id="rId34"/><Relationship Type="http://schemas.openxmlformats.org/officeDocument/2006/relationships/hyperlink" Target="#'Evidencias y Certificacion'!A1" TargetMode="External" Id="rId35"/><Relationship Type="http://schemas.openxmlformats.org/officeDocument/2006/relationships/hyperlink" Target="#'Planificaci&#243;n de Sprints'!A4" TargetMode="External" Id="rId36"/><Relationship Type="http://schemas.openxmlformats.org/officeDocument/2006/relationships/hyperlink" Target="#'Gobernanza'!A30" TargetMode="External" Id="rId37"/><Relationship Type="http://schemas.openxmlformats.org/officeDocument/2006/relationships/hyperlink" Target="#'Evidencias y Certificacion'!A1" TargetMode="External" Id="rId38"/><Relationship Type="http://schemas.openxmlformats.org/officeDocument/2006/relationships/hyperlink" Target="#'Planificaci&#243;n de Sprints'!A4" TargetMode="External" Id="rId39"/><Relationship Type="http://schemas.openxmlformats.org/officeDocument/2006/relationships/hyperlink" Target="#'Gobernanza'!A28" TargetMode="External" Id="rId40"/><Relationship Type="http://schemas.openxmlformats.org/officeDocument/2006/relationships/hyperlink" Target="#'Evidencias y Certificacion'!A1" TargetMode="External" Id="rId41"/><Relationship Type="http://schemas.openxmlformats.org/officeDocument/2006/relationships/hyperlink" Target="#'Planificaci&#243;n de Sprints'!A3" TargetMode="External" Id="rId42"/><Relationship Type="http://schemas.openxmlformats.org/officeDocument/2006/relationships/hyperlink" Target="#'Gobernanza'!A28" TargetMode="External" Id="rId43"/><Relationship Type="http://schemas.openxmlformats.org/officeDocument/2006/relationships/hyperlink" Target="#'Evidencias y Certificacion'!A1" TargetMode="External" Id="rId44"/><Relationship Type="http://schemas.openxmlformats.org/officeDocument/2006/relationships/hyperlink" Target="#'Planificaci&#243;n de Sprints'!A3" TargetMode="External" Id="rId45"/><Relationship Type="http://schemas.openxmlformats.org/officeDocument/2006/relationships/hyperlink" Target="#'Gobernanza'!A29" TargetMode="External" Id="rId46"/><Relationship Type="http://schemas.openxmlformats.org/officeDocument/2006/relationships/hyperlink" Target="#'Evidencias y Certificacion'!A1" TargetMode="External" Id="rId47"/><Relationship Type="http://schemas.openxmlformats.org/officeDocument/2006/relationships/hyperlink" Target="#'Planificaci&#243;n de Sprints'!A3" TargetMode="External" Id="rId48"/><Relationship Type="http://schemas.openxmlformats.org/officeDocument/2006/relationships/hyperlink" Target="#'Gobernanza'!A30" TargetMode="External" Id="rId49"/><Relationship Type="http://schemas.openxmlformats.org/officeDocument/2006/relationships/hyperlink" Target="#'Evidencias y Certificacion'!A1" TargetMode="External" Id="rId50"/><Relationship Type="http://schemas.openxmlformats.org/officeDocument/2006/relationships/hyperlink" Target="#'Planificaci&#243;n de Sprints'!A3" TargetMode="External" Id="rId51"/><Relationship Type="http://schemas.openxmlformats.org/officeDocument/2006/relationships/hyperlink" Target="#'Gobernanza'!A28" TargetMode="External" Id="rId52"/><Relationship Type="http://schemas.openxmlformats.org/officeDocument/2006/relationships/hyperlink" Target="#'Evidencias y Certificacion'!A1" TargetMode="External" Id="rId53"/><Relationship Type="http://schemas.openxmlformats.org/officeDocument/2006/relationships/hyperlink" Target="#'Planificaci&#243;n de Sprints'!A3" TargetMode="External" Id="rId54"/><Relationship Type="http://schemas.openxmlformats.org/officeDocument/2006/relationships/hyperlink" Target="#'Gobernanza'!A28" TargetMode="External" Id="rId55"/><Relationship Type="http://schemas.openxmlformats.org/officeDocument/2006/relationships/hyperlink" Target="#'Evidencias y Certificacion'!A1" TargetMode="External" Id="rId56"/><Relationship Type="http://schemas.openxmlformats.org/officeDocument/2006/relationships/hyperlink" Target="#'Planificaci&#243;n de Sprints'!A5" TargetMode="External" Id="rId57"/><Relationship Type="http://schemas.openxmlformats.org/officeDocument/2006/relationships/hyperlink" Target="#'Gobernanza'!A29" TargetMode="External" Id="rId58"/><Relationship Type="http://schemas.openxmlformats.org/officeDocument/2006/relationships/hyperlink" Target="#'Evidencias y Certificacion'!A1" TargetMode="External" Id="rId59"/><Relationship Type="http://schemas.openxmlformats.org/officeDocument/2006/relationships/hyperlink" Target="#'Planificaci&#243;n de Sprints'!A5" TargetMode="External" Id="rId60"/><Relationship Type="http://schemas.openxmlformats.org/officeDocument/2006/relationships/hyperlink" Target="#'Gobernanza'!A30" TargetMode="External" Id="rId61"/><Relationship Type="http://schemas.openxmlformats.org/officeDocument/2006/relationships/hyperlink" Target="#'Evidencias y Certificacion'!A1" TargetMode="External" Id="rId62"/><Relationship Type="http://schemas.openxmlformats.org/officeDocument/2006/relationships/hyperlink" Target="#'Planificaci&#243;n de Sprints'!A5" TargetMode="External" Id="rId63"/><Relationship Type="http://schemas.openxmlformats.org/officeDocument/2006/relationships/hyperlink" Target="#'Gobernanza'!A28" TargetMode="External" Id="rId64"/><Relationship Type="http://schemas.openxmlformats.org/officeDocument/2006/relationships/hyperlink" Target="#'Evidencias y Certificacion'!A1" TargetMode="External" Id="rId65"/><Relationship Type="http://schemas.openxmlformats.org/officeDocument/2006/relationships/hyperlink" Target="#'Planificaci&#243;n de Sprints'!A5" TargetMode="External" Id="rId66"/><Relationship Type="http://schemas.openxmlformats.org/officeDocument/2006/relationships/hyperlink" Target="#'Gobernanza'!A28" TargetMode="External" Id="rId67"/><Relationship Type="http://schemas.openxmlformats.org/officeDocument/2006/relationships/hyperlink" Target="#'Evidencias y Certificacion'!A1" TargetMode="External" Id="rId68"/><Relationship Type="http://schemas.openxmlformats.org/officeDocument/2006/relationships/hyperlink" Target="#'Planificaci&#243;n de Sprints'!A5" TargetMode="External" Id="rId69"/><Relationship Type="http://schemas.openxmlformats.org/officeDocument/2006/relationships/hyperlink" Target="#'Gobernanza'!A28" TargetMode="External" Id="rId70"/><Relationship Type="http://schemas.openxmlformats.org/officeDocument/2006/relationships/hyperlink" Target="#'Evidencias y Certificacion'!A1" TargetMode="External" Id="rId71"/><Relationship Type="http://schemas.openxmlformats.org/officeDocument/2006/relationships/hyperlink" Target="#'Evidencias y Certificacion'!A16" TargetMode="External" Id="rId72"/><Relationship Type="http://schemas.openxmlformats.org/officeDocument/2006/relationships/hyperlink" Target="#'Planificaci&#243;n de Sprints'!A2" TargetMode="External" Id="rId73"/><Relationship Type="http://schemas.openxmlformats.org/officeDocument/2006/relationships/hyperlink" Target="#'Gobernanza'!A29" TargetMode="External" Id="rId74"/><Relationship Type="http://schemas.openxmlformats.org/officeDocument/2006/relationships/hyperlink" Target="#'Evidencias y Certificacion'!A16" TargetMode="External" Id="rId75"/><Relationship Type="http://schemas.openxmlformats.org/officeDocument/2006/relationships/hyperlink" Target="#'Evidencias y Certificacion'!A17" TargetMode="External" Id="rId76"/><Relationship Type="http://schemas.openxmlformats.org/officeDocument/2006/relationships/hyperlink" Target="#'Planificaci&#243;n de Sprints'!A2" TargetMode="External" Id="rId77"/><Relationship Type="http://schemas.openxmlformats.org/officeDocument/2006/relationships/hyperlink" Target="#'Gobernanza'!A30" TargetMode="External" Id="rId78"/><Relationship Type="http://schemas.openxmlformats.org/officeDocument/2006/relationships/hyperlink" Target="#'Evidencias y Certificacion'!A17" TargetMode="External" Id="rId79"/><Relationship Type="http://schemas.openxmlformats.org/officeDocument/2006/relationships/hyperlink" Target="#'Planificaci&#243;n de Sprints'!A5" TargetMode="External" Id="rId80"/><Relationship Type="http://schemas.openxmlformats.org/officeDocument/2006/relationships/hyperlink" Target="#'Gobernanza'!A29" TargetMode="External" Id="rId81"/><Relationship Type="http://schemas.openxmlformats.org/officeDocument/2006/relationships/hyperlink" Target="#'Evidencias y Certificacion'!A1" TargetMode="External" Id="rId82"/><Relationship Type="http://schemas.openxmlformats.org/officeDocument/2006/relationships/table" Target="/xl/tables/table1.xml" Id="rId83"/></Relationships>
</file>

<file path=xl/worksheets/_rels/sheet3.xml.rels><Relationships xmlns="http://schemas.openxmlformats.org/package/2006/relationships"><Relationship Type="http://schemas.openxmlformats.org/officeDocument/2006/relationships/hyperlink" Target="#'Evidencias y Certificacion'!A1" TargetMode="External" Id="rId1"/><Relationship Type="http://schemas.openxmlformats.org/officeDocument/2006/relationships/hyperlink" Target="#'Evidencias y Certificacion'!A1" TargetMode="External" Id="rId2"/><Relationship Type="http://schemas.openxmlformats.org/officeDocument/2006/relationships/hyperlink" Target="#'Product Backlog'!A14" TargetMode="External" Id="rId3"/><Relationship Type="http://schemas.openxmlformats.org/officeDocument/2006/relationships/hyperlink" Target="#'Product Backlog'!A14" TargetMode="External" Id="rId4"/><Relationship Type="http://schemas.openxmlformats.org/officeDocument/2006/relationships/hyperlink" Target="#'Product Backlog'!A10" TargetMode="External" Id="rId5"/><Relationship Type="http://schemas.openxmlformats.org/officeDocument/2006/relationships/hyperlink" Target="#'Product Backlog'!A10" TargetMode="External" Id="rId6"/><Relationship Type="http://schemas.openxmlformats.org/officeDocument/2006/relationships/hyperlink" Target="#'Product Backlog'!A19" TargetMode="External" Id="rId7"/><Relationship Type="http://schemas.openxmlformats.org/officeDocument/2006/relationships/hyperlink" Target="#'Product Backlog'!A19" TargetMode="External" Id="rId8"/><Relationship Type="http://schemas.openxmlformats.org/officeDocument/2006/relationships/table" Target="/xl/tables/table2.xml" Id="rId9"/></Relationships>
</file>

<file path=xl/worksheets/_rels/sheet4.xml.rels><Relationships xmlns="http://schemas.openxmlformats.org/package/2006/relationships"><Relationship Type="http://schemas.openxmlformats.org/officeDocument/2006/relationships/hyperlink" Target="#'Dashboard &amp; KPIs'!A1" TargetMode="External" Id="rId1"/><Relationship Type="http://schemas.openxmlformats.org/officeDocument/2006/relationships/hyperlink" Target="#'Product Backlog'!A1" TargetMode="External" Id="rId2"/><Relationship Type="http://schemas.openxmlformats.org/officeDocument/2006/relationships/hyperlink" Target="#'Product Backlog'!A1" TargetMode="External" Id="rId3"/><Relationship Type="http://schemas.openxmlformats.org/officeDocument/2006/relationships/hyperlink" Target="#'Planificaci&#243;n de Sprints'!A1" TargetMode="External" Id="rId4"/><Relationship Type="http://schemas.openxmlformats.org/officeDocument/2006/relationships/hyperlink" Target="#'Product Backlog'!N2" TargetMode="External" Id="rId5"/><Relationship Type="http://schemas.openxmlformats.org/officeDocument/2006/relationships/hyperlink" Target="#'Product Backlog'!N8" TargetMode="External" Id="rId6"/><Relationship Type="http://schemas.openxmlformats.org/officeDocument/2006/relationships/hyperlink" Target="#'Product Backlog'!N25" TargetMode="External" Id="rId7"/><Relationship Type="http://schemas.openxmlformats.org/officeDocument/2006/relationships/hyperlink" Target="#'Dashboard &amp; KPIs'!A1" TargetMode="External" Id="rId8"/><Relationship Type="http://schemas.openxmlformats.org/officeDocument/2006/relationships/table" Target="/xl/tables/table3.xml" Id="rId9"/></Relationships>
</file>

<file path=xl/worksheets/_rels/sheet5.xml.rels><Relationships xmlns="http://schemas.openxmlformats.org/package/2006/relationships"><Relationship Type="http://schemas.openxmlformats.org/officeDocument/2006/relationships/hyperlink" Target="#'Dashboard &amp; KPIs'!A1" TargetMode="External" Id="rId1"/><Relationship Type="http://schemas.openxmlformats.org/officeDocument/2006/relationships/hyperlink" Target="#'Product Backlog'!A1" TargetMode="External" Id="rId2"/><Relationship Type="http://schemas.openxmlformats.org/officeDocument/2006/relationships/hyperlink" Target="#'Planificaci&#243;n de Sprints'!A1" TargetMode="External" Id="rId3"/><Relationship Type="http://schemas.openxmlformats.org/officeDocument/2006/relationships/hyperlink" Target="#'Gobernanza'!A1" TargetMode="External" Id="rId4"/><Relationship Type="http://schemas.openxmlformats.org/officeDocument/2006/relationships/hyperlink" Target="#'Product Backlog'!A2" TargetMode="External" Id="rId5"/><Relationship Type="http://schemas.openxmlformats.org/officeDocument/2006/relationships/hyperlink" Target="#'Gobernanza'!A28" TargetMode="External" Id="rId6"/><Relationship Type="http://schemas.openxmlformats.org/officeDocument/2006/relationships/hyperlink" Target="#'Product Backlog'!A2" TargetMode="External" Id="rId7"/><Relationship Type="http://schemas.openxmlformats.org/officeDocument/2006/relationships/hyperlink" Target="#'Product Backlog'!A6" TargetMode="External" Id="rId8"/><Relationship Type="http://schemas.openxmlformats.org/officeDocument/2006/relationships/hyperlink" Target="#'Gobernanza'!A28" TargetMode="External" Id="rId9"/><Relationship Type="http://schemas.openxmlformats.org/officeDocument/2006/relationships/hyperlink" Target="#'Product Backlog'!A6" TargetMode="External" Id="rId10"/><Relationship Type="http://schemas.openxmlformats.org/officeDocument/2006/relationships/hyperlink" Target="#'Product Backlog'!A7" TargetMode="External" Id="rId11"/><Relationship Type="http://schemas.openxmlformats.org/officeDocument/2006/relationships/hyperlink" Target="#'Gobernanza'!A28" TargetMode="External" Id="rId12"/><Relationship Type="http://schemas.openxmlformats.org/officeDocument/2006/relationships/hyperlink" Target="#'Product Backlog'!A7" TargetMode="External" Id="rId13"/><Relationship Type="http://schemas.openxmlformats.org/officeDocument/2006/relationships/hyperlink" Target="#'Product Backlog'!A8" TargetMode="External" Id="rId14"/><Relationship Type="http://schemas.openxmlformats.org/officeDocument/2006/relationships/hyperlink" Target="#'Gobernanza'!A28" TargetMode="External" Id="rId15"/><Relationship Type="http://schemas.openxmlformats.org/officeDocument/2006/relationships/hyperlink" Target="#'Product Backlog'!A8" TargetMode="External" Id="rId16"/><Relationship Type="http://schemas.openxmlformats.org/officeDocument/2006/relationships/hyperlink" Target="#'Product Backlog'!A9" TargetMode="External" Id="rId17"/><Relationship Type="http://schemas.openxmlformats.org/officeDocument/2006/relationships/hyperlink" Target="#'Gobernanza'!A28" TargetMode="External" Id="rId18"/><Relationship Type="http://schemas.openxmlformats.org/officeDocument/2006/relationships/hyperlink" Target="#'Product Backlog'!A9" TargetMode="External" Id="rId19"/><Relationship Type="http://schemas.openxmlformats.org/officeDocument/2006/relationships/hyperlink" Target="#'Product Backlog'!A24" TargetMode="External" Id="rId20"/><Relationship Type="http://schemas.openxmlformats.org/officeDocument/2006/relationships/hyperlink" Target="#'Gobernanza'!A28" TargetMode="External" Id="rId21"/><Relationship Type="http://schemas.openxmlformats.org/officeDocument/2006/relationships/hyperlink" Target="#'Product Backlog'!A24" TargetMode="External" Id="rId22"/><Relationship Type="http://schemas.openxmlformats.org/officeDocument/2006/relationships/hyperlink" Target="#'Product Backlog'!A25" TargetMode="External" Id="rId23"/><Relationship Type="http://schemas.openxmlformats.org/officeDocument/2006/relationships/hyperlink" Target="#'Gobernanza'!A28" TargetMode="External" Id="rId24"/><Relationship Type="http://schemas.openxmlformats.org/officeDocument/2006/relationships/hyperlink" Target="#'Product Backlog'!A25" TargetMode="External" Id="rId25"/><Relationship Type="http://schemas.openxmlformats.org/officeDocument/2006/relationships/table" Target="/xl/tables/table4.xml" Id="rId26"/><Relationship Type="http://schemas.openxmlformats.org/officeDocument/2006/relationships/table" Target="/xl/tables/table5.xml" Id="rId27"/><Relationship Type="http://schemas.openxmlformats.org/officeDocument/2006/relationships/table" Target="/xl/tables/table6.xml" Id="rId28"/></Relationships>
</file>

<file path=xl/worksheets/sheet1.xml><?xml version="1.0" encoding="utf-8"?>
<worksheet xmlns="http://schemas.openxmlformats.org/spreadsheetml/2006/main">
  <sheetPr>
    <outlinePr summaryBelow="0" summaryRight="0"/>
    <pageSetUpPr/>
  </sheetPr>
  <dimension ref="A1:H28"/>
  <sheetViews>
    <sheetView workbookViewId="0">
      <selection activeCell="A1" sqref="A1"/>
    </sheetView>
  </sheetViews>
  <sheetFormatPr baseColWidth="8" defaultColWidth="12.63" defaultRowHeight="15.75" customHeight="1"/>
  <cols>
    <col width="52" customWidth="1" style="12" min="1" max="1"/>
    <col width="58" customWidth="1" style="12" min="2" max="2"/>
    <col width="13" customWidth="1" style="12" min="3" max="3"/>
    <col width="34" customWidth="1" style="12" min="4" max="4"/>
    <col width="31" customWidth="1" style="12" min="5" max="5"/>
    <col width="13" customWidth="1" style="12" min="6" max="6"/>
    <col width="38" customWidth="1" style="12" min="7" max="7"/>
    <col width="32" customWidth="1" style="12" min="8" max="8"/>
  </cols>
  <sheetData>
    <row r="1">
      <c r="A1" s="1" t="inlineStr">
        <is>
          <t>Resumen Ejecutivo</t>
        </is>
      </c>
      <c r="C1" s="3" t="n"/>
      <c r="D1" s="3" t="n"/>
      <c r="E1" s="3" t="n"/>
      <c r="F1" s="3" t="n"/>
      <c r="G1" s="3" t="n"/>
      <c r="H1" s="3" t="n"/>
    </row>
    <row r="2">
      <c r="A2" s="3" t="inlineStr">
        <is>
          <t>Proyecto</t>
        </is>
      </c>
      <c r="B2" s="3" t="inlineStr">
        <is>
          <t>Software de Paquetes E-commerce Multicliente (SaaS)</t>
        </is>
      </c>
      <c r="C2" s="3" t="n"/>
      <c r="D2" s="3" t="n"/>
      <c r="E2" s="3" t="n"/>
      <c r="F2" s="3" t="n"/>
      <c r="G2" s="3" t="n"/>
      <c r="H2" s="3" t="n"/>
    </row>
    <row r="3">
      <c r="A3" s="3" t="inlineStr">
        <is>
          <t>Versión</t>
        </is>
      </c>
      <c r="B3" s="4" t="inlineStr">
        <is>
          <t>v5.2 - Inclusion de Modulo de Marketing y SEO (ERS v5.2)</t>
        </is>
      </c>
      <c r="C3" s="3" t="n"/>
      <c r="D3" s="3" t="n"/>
      <c r="E3" s="3" t="n"/>
      <c r="F3" s="3" t="n"/>
      <c r="G3" s="3" t="n"/>
      <c r="H3" s="3" t="n"/>
    </row>
    <row r="4">
      <c r="A4" s="3" t="inlineStr">
        <is>
          <t>Arquitectura</t>
        </is>
      </c>
      <c r="B4" s="3" t="inlineStr">
        <is>
          <t>Hexagonal con Django + React + PostgreSQL + MongoDB</t>
        </is>
      </c>
      <c r="C4" s="3" t="n"/>
      <c r="D4" s="3" t="n"/>
      <c r="E4" s="3" t="n"/>
      <c r="F4" s="3" t="n"/>
      <c r="G4" s="3" t="n"/>
      <c r="H4" s="3" t="n"/>
    </row>
    <row r="5">
      <c r="A5" s="3" t="inlineStr">
        <is>
          <t>Product Owner &amp; Scrum Master</t>
        </is>
      </c>
      <c r="B5" s="3" t="inlineStr">
        <is>
          <t>Bastian Proboste (PO) / Danya Duran (SM)</t>
        </is>
      </c>
      <c r="C5" s="3" t="n"/>
      <c r="D5" s="3" t="n"/>
      <c r="E5" s="3" t="n"/>
      <c r="F5" s="3" t="n"/>
      <c r="G5" s="3" t="n"/>
      <c r="H5" s="3" t="n"/>
    </row>
    <row r="6">
      <c r="A6" s="3" t="inlineStr">
        <is>
          <t>Equipo de Desarrollo</t>
        </is>
      </c>
      <c r="B6" s="3" t="inlineStr">
        <is>
          <t>Nathaly Torres, Emanuel Gangas, Vicente Mena</t>
        </is>
      </c>
      <c r="C6" s="3" t="n"/>
      <c r="D6" s="3" t="n"/>
      <c r="E6" s="3" t="n"/>
      <c r="F6" s="3" t="n"/>
      <c r="G6" s="3" t="n"/>
      <c r="H6" s="3" t="n"/>
    </row>
    <row r="7">
      <c r="A7" s="3" t="inlineStr">
        <is>
          <t>Revisores Academicos</t>
        </is>
      </c>
      <c r="B7" s="3" t="inlineStr">
        <is>
          <t>Prof. Rene Galarce y Prof. Ximena del Carmen Prado</t>
        </is>
      </c>
      <c r="C7" s="3" t="n"/>
      <c r="D7" s="3" t="n"/>
      <c r="E7" s="3" t="n"/>
      <c r="F7" s="3" t="n"/>
      <c r="G7" s="3" t="n"/>
      <c r="H7" s="3" t="n"/>
    </row>
    <row r="8">
      <c r="A8" s="1" t="inlineStr">
        <is>
          <t>KPIs Principales</t>
        </is>
      </c>
      <c r="C8" s="3" t="n"/>
      <c r="D8" s="1" t="inlineStr">
        <is>
          <t>Desglose por Estado</t>
        </is>
      </c>
      <c r="F8" s="3" t="n"/>
      <c r="G8" s="1" t="inlineStr">
        <is>
          <t>Desglose por Prioridad</t>
        </is>
      </c>
    </row>
    <row r="9">
      <c r="A9" s="3" t="inlineStr">
        <is>
          <t>Total de Ítems en el Backlog</t>
        </is>
      </c>
      <c r="B9" s="27">
        <f>COUNTA('Product Backlog'!A2:A100)</f>
        <v/>
      </c>
      <c r="C9" s="3" t="n"/>
      <c r="D9" s="3" t="inlineStr">
        <is>
          <t>Por Hacer</t>
        </is>
      </c>
      <c r="E9" s="3">
        <f>COUNTIF('Product Backlog'!L:L, "Por Hacer")</f>
        <v/>
      </c>
      <c r="F9" s="3" t="n"/>
      <c r="G9" s="3" t="inlineStr">
        <is>
          <t>Alta</t>
        </is>
      </c>
      <c r="H9" s="3">
        <f>COUNTIF('Product Backlog'!I:I, "Alta")</f>
        <v/>
      </c>
    </row>
    <row r="10">
      <c r="A10" s="3" t="inlineStr">
        <is>
          <t>Total de Puntos de Historia</t>
        </is>
      </c>
      <c r="B10" s="3">
        <f>SUM('Product Backlog'!J2:J100)</f>
        <v/>
      </c>
      <c r="C10" s="3" t="n"/>
      <c r="D10" s="3" t="inlineStr">
        <is>
          <t>En Progreso</t>
        </is>
      </c>
      <c r="E10" s="3">
        <f>COUNTIF('Product Backlog'!L:L, "En Progreso")</f>
        <v/>
      </c>
      <c r="F10" s="3" t="n"/>
      <c r="G10" s="3" t="inlineStr">
        <is>
          <t>Media</t>
        </is>
      </c>
      <c r="H10" s="3">
        <f>COUNTIF('Product Backlog'!I:I, "Media")</f>
        <v/>
      </c>
    </row>
    <row r="11">
      <c r="A11" s="3" t="inlineStr">
        <is>
          <t>Puntos Completados</t>
        </is>
      </c>
      <c r="B11" s="27">
        <f>SUMIFS('Product Backlog'!J2:J100, 'Product Backlog'!L2:L100, "Completado")</f>
        <v/>
      </c>
      <c r="C11" s="3" t="n"/>
      <c r="D11" s="3" t="inlineStr">
        <is>
          <t>En Revisión / QA</t>
        </is>
      </c>
      <c r="E11" s="3">
        <f>COUNTIF('Product Backlog'!L:L, "En Revisión / QA")</f>
        <v/>
      </c>
      <c r="F11" s="3" t="n"/>
      <c r="G11" s="3" t="inlineStr">
        <is>
          <t>Baja</t>
        </is>
      </c>
      <c r="H11" s="3">
        <f>COUNTIF('Product Backlog'!I:I, "Baja")</f>
        <v/>
      </c>
    </row>
    <row r="12">
      <c r="A12" s="3" t="inlineStr">
        <is>
          <t>% de Avance General</t>
        </is>
      </c>
      <c r="B12" s="9">
        <f>IFERROR(B11/B10, 0)</f>
        <v/>
      </c>
      <c r="C12" s="3" t="n"/>
      <c r="D12" s="3" t="inlineStr">
        <is>
          <t>Completado</t>
        </is>
      </c>
      <c r="E12" s="3">
        <f>COUNTIF('Product Backlog'!L:L, "Completado")</f>
        <v/>
      </c>
      <c r="F12" s="3" t="n"/>
      <c r="G12" s="3" t="n"/>
      <c r="H12" s="3" t="n"/>
    </row>
    <row r="13">
      <c r="A13" s="3" t="n"/>
      <c r="B13" s="3" t="n"/>
      <c r="C13" s="3" t="n"/>
      <c r="D13" s="3" t="inlineStr">
        <is>
          <t>Bloqueado</t>
        </is>
      </c>
      <c r="E13" s="3">
        <f>COUNTIF('Product Backlog'!L:L, "Bloqueado")</f>
        <v/>
      </c>
      <c r="F13" s="3" t="n"/>
      <c r="G13" s="3" t="n"/>
      <c r="H13" s="3" t="n"/>
    </row>
    <row r="14">
      <c r="A14" s="3" t="n"/>
      <c r="B14" s="3" t="n"/>
      <c r="C14" s="3" t="n"/>
      <c r="D14" s="3" t="n"/>
      <c r="E14" s="3" t="n"/>
      <c r="F14" s="3" t="n"/>
      <c r="G14" s="3" t="n"/>
      <c r="H14" s="3" t="n"/>
    </row>
    <row r="15">
      <c r="A15" s="3" t="n"/>
      <c r="B15" s="3" t="n"/>
      <c r="C15" s="3" t="n"/>
      <c r="D15" s="1" t="inlineStr">
        <is>
          <t>Desglose por Componente Técnico</t>
        </is>
      </c>
      <c r="F15" s="3" t="n"/>
      <c r="G15" s="1" t="inlineStr">
        <is>
          <t>Desglose por Épica / Módulo</t>
        </is>
      </c>
    </row>
    <row r="16">
      <c r="A16" s="3" t="n"/>
      <c r="B16" s="3" t="n"/>
      <c r="C16" s="3" t="n"/>
      <c r="D16" s="3" t="inlineStr">
        <is>
          <t>Fullstack</t>
        </is>
      </c>
      <c r="E16" s="3">
        <f>COUNTIF('Product Backlog'!H:H, "*Fullstack*")</f>
        <v/>
      </c>
      <c r="F16" s="3" t="n"/>
      <c r="G16" s="3" t="inlineStr">
        <is>
          <t>RN - Reglas de Negocio</t>
        </is>
      </c>
      <c r="H16" s="3">
        <f>COUNTIF('Product Backlog'!C:C, "RN - Reglas de Negocio")</f>
        <v/>
      </c>
    </row>
    <row r="17">
      <c r="A17" s="3" t="n"/>
      <c r="B17" s="3" t="n"/>
      <c r="C17" s="3" t="n"/>
      <c r="D17" s="3" t="inlineStr">
        <is>
          <t>Frontend (React)</t>
        </is>
      </c>
      <c r="E17" s="3">
        <f>COUNTIF('Product Backlog'!H:H, "*Frontend*")</f>
        <v/>
      </c>
      <c r="F17" s="3" t="n"/>
      <c r="G17" s="3" t="inlineStr">
        <is>
          <t>RF-01: Catálogo y Personalización</t>
        </is>
      </c>
      <c r="H17" s="3">
        <f>COUNTIF('Product Backlog'!C:C, "RF-01: Catálogo y Personalización")</f>
        <v/>
      </c>
    </row>
    <row r="18">
      <c r="A18" s="3" t="n"/>
      <c r="B18" s="3" t="n"/>
      <c r="C18" s="3" t="n"/>
      <c r="D18" s="3" t="inlineStr">
        <is>
          <t>Backend (Django)</t>
        </is>
      </c>
      <c r="E18" s="3">
        <f>COUNTIF('Product Backlog'!H:H, "*Backend*")</f>
        <v/>
      </c>
      <c r="F18" s="3" t="n"/>
      <c r="G18" s="3" t="inlineStr">
        <is>
          <t>RF-02: Carrito, Pagos y Logística</t>
        </is>
      </c>
      <c r="H18" s="3">
        <f>COUNTIF('Product Backlog'!C:C, "RF-02: Carrito, Pagos y Logística")</f>
        <v/>
      </c>
    </row>
    <row r="19">
      <c r="A19" s="3" t="n"/>
      <c r="B19" s="3" t="n"/>
      <c r="C19" s="3" t="n"/>
      <c r="D19" s="3" t="inlineStr">
        <is>
          <t>Base de Datos</t>
        </is>
      </c>
      <c r="E19" s="3">
        <f>COUNTIF('Product Backlog'!H:H, "*MongoDB*") + COUNTIF('Product Backlog'!H:H, "*PostgreSQL*")</f>
        <v/>
      </c>
      <c r="F19" s="3" t="n"/>
      <c r="G19" s="3" t="inlineStr">
        <is>
          <t>RF-03: Administración (Backoffice)</t>
        </is>
      </c>
      <c r="H19" s="3">
        <f>COUNTIF('Product Backlog'!C:C, "RF-03: Administración (Backoffice)")</f>
        <v/>
      </c>
    </row>
    <row r="20">
      <c r="A20" s="3" t="n"/>
      <c r="B20" s="3" t="n"/>
      <c r="C20" s="3" t="n"/>
      <c r="D20" s="3" t="inlineStr">
        <is>
          <t>Arquitectura / Docs</t>
        </is>
      </c>
      <c r="E20" s="3">
        <f>COUNTIF('Product Backlog'!H:H, "*Arquitectura*")</f>
        <v/>
      </c>
      <c r="F20" s="3" t="n"/>
      <c r="G20" s="3" t="inlineStr">
        <is>
          <t>RF-04: Marketing, Operaciones y SEO</t>
        </is>
      </c>
      <c r="H20" s="3">
        <f>COUNTIF('Product Backlog'!C:C, "RF-04: Marketing, Operaciones y SEO")</f>
        <v/>
      </c>
    </row>
    <row r="21">
      <c r="A21" s="3" t="n"/>
      <c r="B21" s="3" t="n"/>
      <c r="C21" s="3" t="n"/>
      <c r="D21" s="3" t="n"/>
      <c r="E21" s="3" t="n"/>
      <c r="F21" s="3" t="n"/>
      <c r="G21" s="3" t="inlineStr">
        <is>
          <t>RNF: Requerimientos No Funcionales</t>
        </is>
      </c>
      <c r="H21" s="3">
        <f>COUNTIF('Product Backlog'!C:C, "RNF: Requerimientos No Funcionales")</f>
        <v/>
      </c>
    </row>
    <row r="22"/>
    <row r="23">
      <c r="A23" s="13" t="inlineStr">
        <is>
          <t>PANEL DE NAVEGACION RAPIDA (REFERENCIAS INTERNAS)</t>
        </is>
      </c>
    </row>
    <row r="24">
      <c r="A24" s="14" t="inlineStr">
        <is>
          <t>Ir a Product Backlog</t>
        </is>
      </c>
      <c r="D24" s="14" t="inlineStr">
        <is>
          <t>Ir a Planificacion Sprints</t>
        </is>
      </c>
      <c r="G24" s="14" t="inlineStr">
        <is>
          <t>Ir a Evidencias y Certificacion</t>
        </is>
      </c>
    </row>
    <row r="25">
      <c r="A25" s="15" t="inlineStr">
        <is>
          <t>Estado Sprint 1:</t>
        </is>
      </c>
      <c r="B25" s="16" t="inlineStr">
        <is>
          <t>CERTIFICADO (100% Completado - 32 SP)</t>
        </is>
      </c>
      <c r="D25" s="15" t="inlineStr">
        <is>
          <t>Pruebas Automatizadas:</t>
        </is>
      </c>
      <c r="E25" s="16" t="inlineStr">
        <is>
          <t>20 / 20 Pasadas (100% Exito)</t>
        </is>
      </c>
      <c r="G25" s="15" t="inlineStr">
        <is>
          <t>Compilacion Frontend:</t>
        </is>
      </c>
      <c r="H25" s="16" t="inlineStr">
        <is>
          <t>Vite v5.2 Exitoso (0 Errores)</t>
        </is>
      </c>
    </row>
    <row r="26">
      <c r="A26" s="14" t="inlineStr">
        <is>
          <t>Ir a Gobernanza y Roles</t>
        </is>
      </c>
      <c r="D26" s="14" t="inlineStr">
        <is>
          <t>Ir a Reporte de Pruebas</t>
        </is>
      </c>
      <c r="G26" s="14" t="inlineStr">
        <is>
          <t>Ir a Reporte de Build</t>
        </is>
      </c>
    </row>
    <row r="27"/>
    <row r="28">
      <c r="A28" s="15" t="inlineStr">
        <is>
          <t>Estado Sprint 1:</t>
        </is>
      </c>
      <c r="B28" s="16" t="inlineStr">
        <is>
          <t>CERTIFICADO (100% Completado - 32 SP)</t>
        </is>
      </c>
      <c r="D28" s="15" t="inlineStr">
        <is>
          <t>Pruebas Automatizadas:</t>
        </is>
      </c>
      <c r="E28" s="16" t="inlineStr">
        <is>
          <t>20 / 20 Pasadas (100% Exito)</t>
        </is>
      </c>
      <c r="G28" s="15" t="inlineStr">
        <is>
          <t>Compilacion Frontend:</t>
        </is>
      </c>
      <c r="H28" s="16" t="inlineStr">
        <is>
          <t>Vite v5.2 Exitoso (0 Errores)</t>
        </is>
      </c>
    </row>
  </sheetData>
  <mergeCells count="6">
    <mergeCell ref="D8:E8"/>
    <mergeCell ref="D15:E15"/>
    <mergeCell ref="G15:H15"/>
    <mergeCell ref="A1:B1"/>
    <mergeCell ref="G8:H8"/>
    <mergeCell ref="A8:B8"/>
  </mergeCells>
  <hyperlinks>
    <hyperlink xmlns:r="http://schemas.openxmlformats.org/officeDocument/2006/relationships" ref="B9" r:id="rId1"/>
    <hyperlink xmlns:r="http://schemas.openxmlformats.org/officeDocument/2006/relationships" ref="B11" r:id="rId2"/>
    <hyperlink xmlns:r="http://schemas.openxmlformats.org/officeDocument/2006/relationships" ref="A24" r:id="rId3"/>
    <hyperlink xmlns:r="http://schemas.openxmlformats.org/officeDocument/2006/relationships" ref="D24" r:id="rId4"/>
    <hyperlink xmlns:r="http://schemas.openxmlformats.org/officeDocument/2006/relationships" ref="G24" r:id="rId5"/>
    <hyperlink xmlns:r="http://schemas.openxmlformats.org/officeDocument/2006/relationships" ref="A26" r:id="rId6"/>
    <hyperlink xmlns:r="http://schemas.openxmlformats.org/officeDocument/2006/relationships" ref="D26" r:id="rId7"/>
    <hyperlink xmlns:r="http://schemas.openxmlformats.org/officeDocument/2006/relationships" ref="G26" r:id="rId8"/>
    <hyperlink xmlns:r="http://schemas.openxmlformats.org/officeDocument/2006/relationships" ref="B28" r:id="rId9"/>
    <hyperlink xmlns:r="http://schemas.openxmlformats.org/officeDocument/2006/relationships" ref="E28" r:id="rId10"/>
    <hyperlink xmlns:r="http://schemas.openxmlformats.org/officeDocument/2006/relationships" ref="H28" r:id="rId1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R100"/>
  <sheetViews>
    <sheetView workbookViewId="0">
      <selection activeCell="A1" sqref="A1"/>
    </sheetView>
  </sheetViews>
  <sheetFormatPr baseColWidth="8" defaultColWidth="12.63" defaultRowHeight="15.75" customHeight="1"/>
  <cols>
    <col width="13" customWidth="1" style="12" min="1" max="1"/>
    <col width="19" customWidth="1" style="12" min="2" max="2"/>
    <col width="38" customWidth="1" style="12" min="3" max="3"/>
    <col width="58" customWidth="1" style="12" min="4" max="4"/>
    <col width="58" customWidth="1" style="12" min="5" max="6"/>
    <col width="58" customWidth="1" style="12" min="6" max="6"/>
    <col width="31" customWidth="1" style="12" min="7" max="7"/>
    <col width="56" customWidth="1" style="12" min="8" max="8"/>
    <col width="13" customWidth="1" style="12" min="9" max="9"/>
    <col width="29" customWidth="1" style="12" min="10" max="10"/>
    <col width="18" customWidth="1" style="12" min="11" max="11"/>
    <col width="13" customWidth="1" style="12" min="12" max="12"/>
    <col width="13" customWidth="1" style="12" min="13" max="13"/>
    <col width="55" customWidth="1" style="12" min="14" max="14"/>
    <col width="58" customWidth="1" style="12" min="15" max="15"/>
    <col width="58" customWidth="1" style="12" min="16" max="16"/>
    <col width="58" customWidth="1" style="12" min="17" max="17"/>
    <col width="30" customWidth="1" style="12" min="18" max="18"/>
  </cols>
  <sheetData>
    <row r="1">
      <c r="A1" s="5" t="inlineStr">
        <is>
          <t>ID</t>
        </is>
      </c>
      <c r="B1" s="5" t="inlineStr">
        <is>
          <t>Tipo</t>
        </is>
      </c>
      <c r="C1" s="5" t="inlineStr">
        <is>
          <t>Epica / Modulo</t>
        </is>
      </c>
      <c r="D1" s="5" t="inlineStr">
        <is>
          <t>Titulo del Requerimiento</t>
        </is>
      </c>
      <c r="E1" s="5" t="inlineStr">
        <is>
          <t>Descripcion Integra / Historia de Usuario</t>
        </is>
      </c>
      <c r="F1" s="5" t="inlineStr">
        <is>
          <t>Criterio de Aceptacion (Gherkin / Verificacion)</t>
        </is>
      </c>
      <c r="G1" s="5" t="inlineStr">
        <is>
          <t>Actor / Rol</t>
        </is>
      </c>
      <c r="H1" s="5" t="inlineStr">
        <is>
          <t>Componente Tecnico</t>
        </is>
      </c>
      <c r="I1" s="5" t="inlineStr">
        <is>
          <t>Prioridad</t>
        </is>
      </c>
      <c r="J1" s="5" t="inlineStr">
        <is>
          <t>Complejidad (Fibonacci SP)</t>
        </is>
      </c>
      <c r="K1" s="5" t="inlineStr">
        <is>
          <t>Sprint Asignado</t>
        </is>
      </c>
      <c r="L1" s="5" t="inlineStr">
        <is>
          <t>Estado</t>
        </is>
      </c>
      <c r="M1" s="5" t="inlineStr">
        <is>
          <t>% Avance</t>
        </is>
      </c>
      <c r="N1" s="5" t="inlineStr">
        <is>
          <t>Responsable</t>
        </is>
      </c>
      <c r="O1" s="5" t="inlineStr">
        <is>
          <t>Notas / Dependencias</t>
        </is>
      </c>
      <c r="P1" s="17" t="inlineStr">
        <is>
          <t>Evidencia de Codigo</t>
        </is>
      </c>
      <c r="Q1" s="17" t="inlineStr">
        <is>
          <t>Prueba Automatizada</t>
        </is>
      </c>
      <c r="R1" s="17" t="inlineStr">
        <is>
          <t>Referencia Certificacion</t>
        </is>
      </c>
    </row>
    <row r="2">
      <c r="A2" s="28" t="inlineStr">
        <is>
          <t>RN-01</t>
        </is>
      </c>
      <c r="B2" s="7" t="inlineStr">
        <is>
          <t>Regla de Negocio</t>
        </is>
      </c>
      <c r="C2" s="7" t="inlineStr">
        <is>
          <t>RN - Reglas de Negocio</t>
        </is>
      </c>
      <c r="D2" s="7" t="inlineStr">
        <is>
          <t>Branding Obligatorio de Autoría</t>
        </is>
      </c>
      <c r="E2" s="7" t="inlineStr">
        <is>
          <t>Todo E-commerce generado por la plataforma deberá mostrar obligatoriamente el logo de la Universidad en un tamaño destacado, independientemente de la plantilla o el logo propio del negocio que el emprendedor configure. Esta marca de autoría no podrá ser ocultada desde el panel de control.</t>
        </is>
      </c>
      <c r="F2" s="7" t="inlineStr">
        <is>
          <t>Dado que un visitante o administrador navega por cualquier vista de la tienda, cuando la interfaz se renderiza, entonces visualizará el logo y sello de la Universidad de forma permanente e inalterable, y no existirá ningún control en el panel de configuración para ocultarlo o desactivarlo.</t>
        </is>
      </c>
      <c r="G2" s="7" t="inlineStr">
        <is>
          <t>Sistema / Ambos</t>
        </is>
      </c>
      <c r="H2" s="7" t="inlineStr">
        <is>
          <t>Frontend (React)</t>
        </is>
      </c>
      <c r="I2" s="7" t="inlineStr">
        <is>
          <t>Alta</t>
        </is>
      </c>
      <c r="J2" s="7" t="n">
        <v>2</v>
      </c>
      <c r="K2" s="28" t="inlineStr">
        <is>
          <t>Sprint 1</t>
        </is>
      </c>
      <c r="L2" s="7" t="inlineStr">
        <is>
          <t>Completado</t>
        </is>
      </c>
      <c r="M2" s="8">
        <f>IF(L2="Completado", 1, IF(L2="En Revisión / QA", 0.8, IF(L2="En Progreso", 0.4, 0)))</f>
        <v/>
      </c>
      <c r="N2" s="28" t="inlineStr">
        <is>
          <t>Nathaly Torres (Frontend / UI)</t>
        </is>
      </c>
      <c r="O2" s="7" t="inlineStr">
        <is>
          <t>Sin dependencias. Branding institucional inmutable permanente en pie de pagina y estructura.</t>
        </is>
      </c>
      <c r="P2" s="18" t="inlineStr">
        <is>
          <t>frontend/src/components/layout/Footer.jsx</t>
        </is>
      </c>
      <c r="Q2" s="18" t="inlineStr">
        <is>
          <t>Verificacion visual e inmutabilidad en schema backend</t>
        </is>
      </c>
      <c r="R2" s="14" t="inlineStr">
        <is>
          <t>Ver Evidencia y Dictamen</t>
        </is>
      </c>
    </row>
    <row r="3">
      <c r="A3" s="7" t="inlineStr">
        <is>
          <t>RN-02</t>
        </is>
      </c>
      <c r="B3" s="7" t="inlineStr">
        <is>
          <t>Regla de Negocio</t>
        </is>
      </c>
      <c r="C3" s="7" t="inlineStr">
        <is>
          <t>RN - Reglas de Negocio</t>
        </is>
      </c>
      <c r="D3" s="7" t="inlineStr">
        <is>
          <t>Modalidades de Pago Configurables</t>
        </is>
      </c>
      <c r="E3" s="7" t="inlineStr">
        <is>
          <t>El flujo de Checkout dependerá de la configuración del emprendedor. El sistema debe permitir activar o desactivar proveedores de pago (Transbank, PayPal, Mercado Pago, servicios de automatización de transferencias como Linkify, o Verificación Manual de Transferencias). Solo se mostrarán al comprador final las opciones habilitadas y configuradas por el administrador.</t>
        </is>
      </c>
      <c r="F3" s="7" t="inlineStr">
        <is>
          <t>Dado que el administrador activa o desactiva pasarelas en el panel de configuración, cuando el cliente llega a la pantalla de pago, entonces se mostrarán únicamente las opciones habilitadas con credenciales válidas.</t>
        </is>
      </c>
      <c r="G3" s="7" t="inlineStr">
        <is>
          <t>Emprendedor / Comprador</t>
        </is>
      </c>
      <c r="H3" s="7" t="inlineStr">
        <is>
          <t>Fullstack (Django + React + PostgreSQL)</t>
        </is>
      </c>
      <c r="I3" s="7" t="inlineStr">
        <is>
          <t>Alta</t>
        </is>
      </c>
      <c r="J3" s="7" t="n">
        <v>5</v>
      </c>
      <c r="K3" s="28" t="inlineStr">
        <is>
          <t>Sprint 3</t>
        </is>
      </c>
      <c r="L3" s="7" t="inlineStr">
        <is>
          <t>Por Hacer</t>
        </is>
      </c>
      <c r="M3" s="8">
        <f>IF(L3="Completado", 1, IF(L3="En Revisión / QA", 0.8, IF(L3="En Progreso", 0.4, 0)))</f>
        <v/>
      </c>
      <c r="N3" s="28" t="inlineStr">
        <is>
          <t>Vicente Mena (Backend / Pagos)</t>
        </is>
      </c>
      <c r="O3" s="7" t="inlineStr">
        <is>
          <t>Depende de RN-04 (modalidad checkout) y RF-02.2 (pasarelas). Configuracion dinamica en checkout.</t>
        </is>
      </c>
      <c r="P3" s="18" t="inlineStr">
        <is>
          <t>backend/apps/payments (por implementar)</t>
        </is>
      </c>
      <c r="Q3" s="18" t="inlineStr">
        <is>
          <t>test_payment_gateways.py (planificado)</t>
        </is>
      </c>
      <c r="R3" s="23" t="inlineStr">
        <is>
          <t>Pendiente (Sprints Futuros)</t>
        </is>
      </c>
    </row>
    <row r="4">
      <c r="A4" s="7" t="inlineStr">
        <is>
          <t>RN-03</t>
        </is>
      </c>
      <c r="B4" s="7" t="inlineStr">
        <is>
          <t>Regla de Negocio</t>
        </is>
      </c>
      <c r="C4" s="7" t="inlineStr">
        <is>
          <t>RN - Reglas de Negocio</t>
        </is>
      </c>
      <c r="D4" s="7" t="inlineStr">
        <is>
          <t>Gestión de Inventario (Stock)</t>
        </is>
      </c>
      <c r="E4" s="7" t="inlineStr">
        <is>
          <t>No se podrán procesar ventas de productos cuyo stock sea igual a cero. El sistema deberá descontar el inventario de manera transaccional al momento de confirmar un pago exitoso.</t>
        </is>
      </c>
      <c r="F4" s="7" t="inlineStr">
        <is>
          <t>Dado que un producto posee stock igual a cero o insuficiente, cuando el cliente intenta procesar el pago, entonces el sistema bloquea la transacción y descuenta inventario de forma atómica tras confirmación de pago exitoso.</t>
        </is>
      </c>
      <c r="G4" s="7" t="inlineStr">
        <is>
          <t>Sistema / Comprador</t>
        </is>
      </c>
      <c r="H4" s="7" t="inlineStr">
        <is>
          <t>Backend (Django + PostgreSQL + MongoDB)</t>
        </is>
      </c>
      <c r="I4" s="7" t="inlineStr">
        <is>
          <t>Alta</t>
        </is>
      </c>
      <c r="J4" s="7" t="n">
        <v>5</v>
      </c>
      <c r="K4" s="28" t="inlineStr">
        <is>
          <t>Sprint 2</t>
        </is>
      </c>
      <c r="L4" s="7" t="inlineStr">
        <is>
          <t>Por Hacer</t>
        </is>
      </c>
      <c r="M4" s="8">
        <f>IF(L4="Completado", 1, IF(L4="En Revisión / QA", 0.8, IF(L4="En Progreso", 0.4, 0)))</f>
        <v/>
      </c>
      <c r="N4" s="28" t="inlineStr">
        <is>
          <t>Emanuel Gangas (Backend / Stock)</t>
        </is>
      </c>
      <c r="O4" s="7" t="inlineStr">
        <is>
          <t>Depende de RF-01.3 y RF-03.2. Bloqueo transaccional de ventas con stock=0.</t>
        </is>
      </c>
      <c r="P4" s="18" t="inlineStr">
        <is>
          <t>backend/apps/inventory (por implementar)</t>
        </is>
      </c>
      <c r="Q4" s="18" t="inlineStr">
        <is>
          <t>test_inventory_atomic.py (planificado)</t>
        </is>
      </c>
      <c r="R4" s="23" t="inlineStr">
        <is>
          <t>Pendiente (Sprints Futuros)</t>
        </is>
      </c>
    </row>
    <row r="5">
      <c r="A5" s="7" t="inlineStr">
        <is>
          <t>RN-04</t>
        </is>
      </c>
      <c r="B5" s="7" t="inlineStr">
        <is>
          <t>Regla de Negocio</t>
        </is>
      </c>
      <c r="C5" s="7" t="inlineStr">
        <is>
          <t>RN - Reglas de Negocio</t>
        </is>
      </c>
      <c r="D5" s="7" t="inlineStr">
        <is>
          <t>Autenticación de Compradores</t>
        </is>
      </c>
      <c r="E5" s="7" t="inlineStr">
        <is>
          <t>El sistema respetará el nivel de barrera de entrada que defina el dueño de la tienda. El emprendedor debe poder forzar a los usuarios a crear una cuenta, permitirles iniciar sesión rápidamente vía Google, o habilitar la "compra como invitado" (sin registro).</t>
        </is>
      </c>
      <c r="F5" s="7" t="inlineStr">
        <is>
          <t>Dado que el emprendedor configuró una modalidad de acceso (Invitado, Cuenta Obligatoria o Google SSO), cuando el comprador inicia el checkout, entonces el flujo exige estrictamente los pasos de autenticación configurados.</t>
        </is>
      </c>
      <c r="G5" s="7" t="inlineStr">
        <is>
          <t>Emprendedor / Comprador</t>
        </is>
      </c>
      <c r="H5" s="7" t="inlineStr">
        <is>
          <t>Fullstack (Django + React + PostgreSQL)</t>
        </is>
      </c>
      <c r="I5" s="7" t="inlineStr">
        <is>
          <t>Alta</t>
        </is>
      </c>
      <c r="J5" s="7" t="n">
        <v>5</v>
      </c>
      <c r="K5" s="28" t="inlineStr">
        <is>
          <t>Sprint 3</t>
        </is>
      </c>
      <c r="L5" s="7" t="inlineStr">
        <is>
          <t>Por Hacer</t>
        </is>
      </c>
      <c r="M5" s="8">
        <f>IF(L5="Completado", 1, IF(L5="En Revisión / QA", 0.8, IF(L5="En Progreso", 0.4, 0)))</f>
        <v/>
      </c>
      <c r="N5" s="28" t="inlineStr">
        <is>
          <t>Emanuel Gangas (Backend / Auth)</t>
        </is>
      </c>
      <c r="O5" s="7" t="inlineStr">
        <is>
          <t>Depende de RNF-03 (seguridad/sesiones). Define politica de acceso al checkout.</t>
        </is>
      </c>
      <c r="P5" s="18" t="inlineStr">
        <is>
          <t>backend/apps/authentication (por implementar)</t>
        </is>
      </c>
      <c r="Q5" s="18" t="inlineStr">
        <is>
          <t>test_auth_policies.py (planificado)</t>
        </is>
      </c>
      <c r="R5" s="23" t="inlineStr">
        <is>
          <t>Pendiente (Sprints Futuros)</t>
        </is>
      </c>
    </row>
    <row r="6">
      <c r="A6" s="28" t="inlineStr">
        <is>
          <t>RF-01.1</t>
        </is>
      </c>
      <c r="B6" s="7" t="inlineStr">
        <is>
          <t>Funcional</t>
        </is>
      </c>
      <c r="C6" s="7" t="inlineStr">
        <is>
          <t>RF-01: Catálogo y Personalización</t>
        </is>
      </c>
      <c r="D6" s="7" t="inlineStr">
        <is>
          <t>Landing Page e Ingreso a la Tienda</t>
        </is>
      </c>
      <c r="E6" s="7" t="inlineStr">
        <is>
          <t>El sistema proveerá una Landing Page de bienvenida configurada por el emprendedor, la cual contendrá información principal del negocio y un llamado a la acción (botón) para ingresar al catálogo E-commerce propiamente tal.</t>
        </is>
      </c>
      <c r="F6" s="7" t="inlineStr">
        <is>
          <t>Dado que un visitante ingresa al dominio del cliente, cuando carga la página principal, entonces visualizará la Landing Page con banner de bienvenida y llamada a la acción en lugar de ver el catálogo directamente.</t>
        </is>
      </c>
      <c r="G6" s="7" t="inlineStr">
        <is>
          <t>Comprador / Emprendedor</t>
        </is>
      </c>
      <c r="H6" s="7" t="inlineStr">
        <is>
          <t>Frontend (React) + Backend (Django)</t>
        </is>
      </c>
      <c r="I6" s="7" t="inlineStr">
        <is>
          <t>Media</t>
        </is>
      </c>
      <c r="J6" s="7" t="n">
        <v>3</v>
      </c>
      <c r="K6" s="28" t="inlineStr">
        <is>
          <t>Sprint 1</t>
        </is>
      </c>
      <c r="L6" s="7" t="inlineStr">
        <is>
          <t>Completado</t>
        </is>
      </c>
      <c r="M6" s="8">
        <f>IF(L6="Completado", 1, IF(L6="En Revisión / QA", 0.8, IF(L6="En Progreso", 0.4, 0)))</f>
        <v/>
      </c>
      <c r="N6" s="28" t="inlineStr">
        <is>
          <t>Nathaly Torres (Frontend / UI)</t>
        </is>
      </c>
      <c r="O6" s="7" t="inlineStr">
        <is>
          <t>Depende de RF-01.2 y RN-01. Vista publica de bienvenida con llamada a la accion.</t>
        </is>
      </c>
      <c r="P6" s="18" t="inlineStr">
        <is>
          <t>frontend/src/pages/LandingPage.jsx</t>
        </is>
      </c>
      <c r="Q6" s="18" t="inlineStr">
        <is>
          <t>Navegacion fluida y verificacion de rutas SPA</t>
        </is>
      </c>
      <c r="R6" s="14" t="inlineStr">
        <is>
          <t>Ver Evidencia y Dictamen</t>
        </is>
      </c>
    </row>
    <row r="7">
      <c r="A7" s="28" t="inlineStr">
        <is>
          <t>RF-01.2</t>
        </is>
      </c>
      <c r="B7" s="7" t="inlineStr">
        <is>
          <t>Funcional</t>
        </is>
      </c>
      <c r="C7" s="7" t="inlineStr">
        <is>
          <t>RF-01: Catálogo y Personalización</t>
        </is>
      </c>
      <c r="D7" s="7" t="inlineStr">
        <is>
          <t>Personalización de Interfaz (Temas, Logos y Favicon)</t>
        </is>
      </c>
      <c r="E7" s="7" t="inlineStr">
        <is>
          <t>El sistema deberá ofrecer un panel donde el emprendedor pueda seleccionar entre un mínimo de 4 plantillas de colores predefinidas para estructurar su tienda. Además, permitirá cargar el logo comercial del negocio y un ícono de pestaña (favicon) personalizado, garantizando siempre la presencia inamovible del logo de la Universidad en la interfaz principal (RN-01).</t>
        </is>
      </c>
      <c r="F7" s="7" t="inlineStr">
        <is>
          <t>Dado que el administrador selecciona una paleta de color o actualiza el logo y favicon en el panel de configuración, cuando el comprador visita la tienda, entonces visualizará el tema visual actualizado y el favicon personalizado en la pestaña.</t>
        </is>
      </c>
      <c r="G7" s="7" t="inlineStr">
        <is>
          <t>Emprendedor</t>
        </is>
      </c>
      <c r="H7" s="7" t="inlineStr">
        <is>
          <t>Frontend (React) + Backend (Django)</t>
        </is>
      </c>
      <c r="I7" s="7" t="inlineStr">
        <is>
          <t>Alta</t>
        </is>
      </c>
      <c r="J7" s="7" t="n">
        <v>5</v>
      </c>
      <c r="K7" s="28" t="inlineStr">
        <is>
          <t>Sprint 1</t>
        </is>
      </c>
      <c r="L7" s="7" t="inlineStr">
        <is>
          <t>Completado</t>
        </is>
      </c>
      <c r="M7" s="8">
        <f>IF(L7="Completado", 1, IF(L7="En Revisión / QA", 0.8, IF(L7="En Progreso", 0.4, 0)))</f>
        <v/>
      </c>
      <c r="N7" s="28" t="inlineStr">
        <is>
          <t>Nathaly Torres (Frontend) / Emanuel Gangas (Backend)</t>
        </is>
      </c>
      <c r="O7" s="7" t="inlineStr">
        <is>
          <t>Depende de RN-01. 4 plantillas Material 3, carga de logo/favicon y selector Light/Dark.</t>
        </is>
      </c>
      <c r="P7" s="18" t="inlineStr">
        <is>
          <t>frontend/src/pages/AdminCustomizationPage.jsx</t>
        </is>
      </c>
      <c r="Q7" s="18" t="inlineStr">
        <is>
          <t>backend/apps/store_config/infrastructure/tests/test_store_config.py</t>
        </is>
      </c>
      <c r="R7" s="14" t="inlineStr">
        <is>
          <t>Ver Evidencia y Dictamen</t>
        </is>
      </c>
    </row>
    <row r="8">
      <c r="A8" s="28" t="inlineStr">
        <is>
          <t>RF-01.3</t>
        </is>
      </c>
      <c r="B8" s="7" t="inlineStr">
        <is>
          <t>Funcional</t>
        </is>
      </c>
      <c r="C8" s="7" t="inlineStr">
        <is>
          <t>RF-01: Catálogo y Personalización</t>
        </is>
      </c>
      <c r="D8" s="7" t="inlineStr">
        <is>
          <t>Catálogo Flexible (MongoDB)</t>
        </is>
      </c>
      <c r="E8" s="7" t="inlineStr">
        <is>
          <t>El sistema permitirá la visualización pública de los productos. Dado el enfoque multipropósito, el catálogo estará sustentado en MongoDB para permitir atributos personalizados (ej. tallas para ropa, voltaje para electrónica) definidos por el emprendedor. Se incluirán filtros dinámicos.</t>
        </is>
      </c>
      <c r="F8" s="7" t="inlineStr">
        <is>
          <t>Dado que el catálogo contiene productos con atributos dinámicos (talla, voltaje, material), cuando un cliente navega el catálogo y aplica filtros facetados, entonces el sistema retorna y visualiza exactamente los ítems coincidentes.</t>
        </is>
      </c>
      <c r="G8" s="7" t="inlineStr">
        <is>
          <t>Comprador / Emprendedor</t>
        </is>
      </c>
      <c r="H8" s="7" t="inlineStr">
        <is>
          <t>Fullstack (Django + React + MongoDB)</t>
        </is>
      </c>
      <c r="I8" s="7" t="inlineStr">
        <is>
          <t>Alta</t>
        </is>
      </c>
      <c r="J8" s="7" t="n">
        <v>8</v>
      </c>
      <c r="K8" s="28" t="inlineStr">
        <is>
          <t>Sprint 1</t>
        </is>
      </c>
      <c r="L8" s="7" t="inlineStr">
        <is>
          <t>Completado</t>
        </is>
      </c>
      <c r="M8" s="8">
        <f>IF(L8="Completado", 1, IF(L8="En Revisión / QA", 0.8, IF(L8="En Progreso", 0.4, 0)))</f>
        <v/>
      </c>
      <c r="N8" s="28" t="inlineStr">
        <is>
          <t>Emanuel Gangas (Backend / MongoDB)</t>
        </is>
      </c>
      <c r="O8" s="7" t="inlineStr">
        <is>
          <t>Depende de RNF-02. Catalogo polimorfico en MongoDB con atributos dinamicos y filtros facetados.</t>
        </is>
      </c>
      <c r="P8" s="18" t="inlineStr">
        <is>
          <t>backend/apps/catalog/infrastructure/repositories.py</t>
        </is>
      </c>
      <c r="Q8" s="18" t="inlineStr">
        <is>
          <t>backend/apps/catalog/infrastructure/tests/test_catalog.py</t>
        </is>
      </c>
      <c r="R8" s="14" t="inlineStr">
        <is>
          <t>Ver Evidencia y Dictamen</t>
        </is>
      </c>
    </row>
    <row r="9">
      <c r="A9" s="28" t="inlineStr">
        <is>
          <t>RF-01.4</t>
        </is>
      </c>
      <c r="B9" s="7" t="inlineStr">
        <is>
          <t>Funcional</t>
        </is>
      </c>
      <c r="C9" s="7" t="inlineStr">
        <is>
          <t>RF-01: Catálogo y Personalización</t>
        </is>
      </c>
      <c r="D9" s="7" t="inlineStr">
        <is>
          <t>Personalización de la Estructura del Catálogo (Layout)</t>
        </is>
      </c>
      <c r="E9" s="7" t="inlineStr">
        <is>
          <t>El panel de administración deberá permitir al emprendedor modificar la disposición visual (layout) en la que se exhiben los productos dentro del catálogo público. El sistema ofrecerá distintas estructuras predefinidas (ej. vista en cuadrícula de 3 columnas, cuadrícula de 4 columnas, o vista de lista con descripciones extendidas) para que la presentación se adapte al tipo de producto que comercializa el negocio.</t>
        </is>
      </c>
      <c r="F9" s="7" t="inlineStr">
        <is>
          <t>Dado que el administrador selecciona una estructura de visualización (grid-3, grid-4 o list) en su panel de configuración, cuando un cliente ingresa al catálogo de la tienda, entonces los productos se renderizan dinámicamente según dicha estructura.</t>
        </is>
      </c>
      <c r="G9" s="7" t="inlineStr">
        <is>
          <t>Emprendedor / Comprador</t>
        </is>
      </c>
      <c r="H9" s="7" t="inlineStr">
        <is>
          <t>Frontend (React) + Backend (Django)</t>
        </is>
      </c>
      <c r="I9" s="7" t="inlineStr">
        <is>
          <t>Alta</t>
        </is>
      </c>
      <c r="J9" s="7" t="n">
        <v>3</v>
      </c>
      <c r="K9" s="28" t="inlineStr">
        <is>
          <t>Sprint 1</t>
        </is>
      </c>
      <c r="L9" s="7" t="inlineStr">
        <is>
          <t>Completado</t>
        </is>
      </c>
      <c r="M9" s="8">
        <f>IF(L9="Completado", 1, IF(L9="En Revisión / QA", 0.8, IF(L9="En Progreso", 0.4, 0)))</f>
        <v/>
      </c>
      <c r="N9" s="28" t="inlineStr">
        <is>
          <t>Nathaly Torres (Frontend / UI)</t>
        </is>
      </c>
      <c r="O9" s="7" t="inlineStr">
        <is>
          <t>Depende de RF-01.2 y RF-01.3. Disposicion visual de catalogo (grid-3, grid-4, list-extended).</t>
        </is>
      </c>
      <c r="P9" s="18" t="inlineStr">
        <is>
          <t>frontend/src/pages/CatalogPage.jsx</t>
        </is>
      </c>
      <c r="Q9" s="18" t="inlineStr">
        <is>
          <t>backend/apps/store_config/infrastructure/tests/test_store_config.py</t>
        </is>
      </c>
      <c r="R9" s="14" t="inlineStr">
        <is>
          <t>Ver Evidencia y Dictamen</t>
        </is>
      </c>
    </row>
    <row r="10">
      <c r="A10" s="7" t="inlineStr">
        <is>
          <t>RF-02.1</t>
        </is>
      </c>
      <c r="B10" s="7" t="inlineStr">
        <is>
          <t>Funcional</t>
        </is>
      </c>
      <c r="C10" s="7" t="inlineStr">
        <is>
          <t>RF-02: Carrito, Pagos y Logística</t>
        </is>
      </c>
      <c r="D10" s="7" t="inlineStr">
        <is>
          <t>Autenticación Configurable de Checkout</t>
        </is>
      </c>
      <c r="E10" s="7" t="inlineStr">
        <is>
          <t>El proceso de pago solicitará inicio de sesión o datos de contacto basándose en la RN-04. El flujo se adaptará dinámicamente: Modo Invitado (solo pide correo y dirección), Modo Cuenta Obligatoria (pide registro/login), Modo Google SSO (Single Sign-On).</t>
        </is>
      </c>
      <c r="F10" s="7" t="inlineStr">
        <is>
          <t>Dado que un comprador inicia el checkout, cuando la tienda tiene configurado uno de los modos de autenticación (Invitado, Cuenta Obligatoria o Google SSO), entonces el formulario de checkout solicitará únicamente los pasos de identificación correspondientes a esa modalidad.</t>
        </is>
      </c>
      <c r="G10" s="7" t="inlineStr">
        <is>
          <t>Comprador / Emprendedor</t>
        </is>
      </c>
      <c r="H10" s="7" t="inlineStr">
        <is>
          <t>Fullstack (Django + React + PostgreSQL + OAuth)</t>
        </is>
      </c>
      <c r="I10" s="7" t="inlineStr">
        <is>
          <t>Alta</t>
        </is>
      </c>
      <c r="J10" s="7" t="n">
        <v>8</v>
      </c>
      <c r="K10" s="28" t="inlineStr">
        <is>
          <t>Sprint 3</t>
        </is>
      </c>
      <c r="L10" s="7" t="inlineStr">
        <is>
          <t>Por Hacer</t>
        </is>
      </c>
      <c r="M10" s="8">
        <f>IF(L10="Completado", 1, IF(L10="En Revisión / QA", 0.8, IF(L10="En Progreso", 0.4, 0)))</f>
        <v/>
      </c>
      <c r="N10" s="28" t="inlineStr">
        <is>
          <t>Nathaly Torres (Frontend) / Emanuel Gangas (Backend)</t>
        </is>
      </c>
      <c r="O10" s="7" t="inlineStr">
        <is>
          <t>Depende de RN-04 y RNF-03. Flujo adaptable segun modo invitado, cuenta obligatoria o Google SSO.</t>
        </is>
      </c>
      <c r="P10" s="18" t="inlineStr">
        <is>
          <t>frontend/src/pages/CheckoutPage.jsx (planificado)</t>
        </is>
      </c>
      <c r="Q10" s="18" t="inlineStr">
        <is>
          <t>test_checkout_flow.py (planificado)</t>
        </is>
      </c>
      <c r="R10" s="23" t="inlineStr">
        <is>
          <t>Pendiente (Sprints Futuros)</t>
        </is>
      </c>
    </row>
    <row r="11">
      <c r="A11" s="7" t="inlineStr">
        <is>
          <t>RF-02.2</t>
        </is>
      </c>
      <c r="B11" s="7" t="inlineStr">
        <is>
          <t>Funcional</t>
        </is>
      </c>
      <c r="C11" s="7" t="inlineStr">
        <is>
          <t>RF-02: Carrito, Pagos y Logística</t>
        </is>
      </c>
      <c r="D11" s="7" t="inlineStr">
        <is>
          <t>Pasarelas de Pago Múltiples</t>
        </is>
      </c>
      <c r="E11" s="7" t="inlineStr">
        <is>
          <t>El sistema integrará las APIs de pago mediante puertos en la Arquitectura Hexagonal. Durante el checkout, el sistema presentará al comprador las opciones habilitadas por el emprendedor (MercadoPago, PayPal, Transbank, o servicios de verificación de transferencias de bajo costo/automatizados como Linkify, además de validación manual de transferencias).</t>
        </is>
      </c>
      <c r="F11" s="7" t="inlineStr">
        <is>
          <t>Dado que el cliente procede a pagar, cuando el emprendedor configuró pasarelas específicas (ej. Transbank y Linkify), entonces la vista de pagos ofrece exclusivamente dichas opciones y procesa la transacción vía puertos desacoplados.</t>
        </is>
      </c>
      <c r="G11" s="7" t="inlineStr">
        <is>
          <t>Comprador / Emprendedor</t>
        </is>
      </c>
      <c r="H11" s="7" t="inlineStr">
        <is>
          <t>Backend (Puertos/Adaptadores Django) + APIs Pago</t>
        </is>
      </c>
      <c r="I11" s="7" t="inlineStr">
        <is>
          <t>Alta</t>
        </is>
      </c>
      <c r="J11" s="7" t="n">
        <v>13</v>
      </c>
      <c r="K11" s="28" t="inlineStr">
        <is>
          <t>Sprint 3</t>
        </is>
      </c>
      <c r="L11" s="7" t="inlineStr">
        <is>
          <t>Por Hacer</t>
        </is>
      </c>
      <c r="M11" s="8">
        <f>IF(L11="Completado", 1, IF(L11="En Revisión / QA", 0.8, IF(L11="En Progreso", 0.4, 0)))</f>
        <v/>
      </c>
      <c r="N11" s="28" t="inlineStr">
        <is>
          <t>Vicente Mena (Backend / Integraciones)</t>
        </is>
      </c>
      <c r="O11" s="7" t="inlineStr">
        <is>
          <t>Depende de RN-02 y RNF-02. Adaptadores de Transbank, PayPal, MercadoPago y Linkify.</t>
        </is>
      </c>
      <c r="P11" s="18" t="inlineStr">
        <is>
          <t>backend/apps/payments/adapters/ (planificado)</t>
        </is>
      </c>
      <c r="Q11" s="18" t="inlineStr">
        <is>
          <t>test_payment_adapters.py (planificado)</t>
        </is>
      </c>
      <c r="R11" s="23" t="inlineStr">
        <is>
          <t>Pendiente (Sprints Futuros)</t>
        </is>
      </c>
    </row>
    <row r="12">
      <c r="A12" s="7" t="inlineStr">
        <is>
          <t>RF-02.3</t>
        </is>
      </c>
      <c r="B12" s="7" t="inlineStr">
        <is>
          <t>Funcional</t>
        </is>
      </c>
      <c r="C12" s="7" t="inlineStr">
        <is>
          <t>RF-02: Carrito, Pagos y Logística</t>
        </is>
      </c>
      <c r="D12" s="7" t="inlineStr">
        <is>
          <t>Integración de Logística y Envío</t>
        </is>
      </c>
      <c r="E12" s="7" t="inlineStr">
        <is>
          <t>Al momento de ingresar la dirección, el sistema consumirá las APIs logísticas habilitadas (Starken, Chilexpress) para cotizar el despacho, o bien ofrecerá la opción de "Retiro en local" si el administrador la configuró.</t>
        </is>
      </c>
      <c r="F12" s="7" t="inlineStr">
        <is>
          <t>Dado que el cliente ingresa su comuna de destino, cuando la tienda tiene activa la cotización de courier o retiro local, entonces se calcula dinámicamente el costo de envío y se suma al total del carrito.</t>
        </is>
      </c>
      <c r="G12" s="7" t="inlineStr">
        <is>
          <t>Comprador / Emprendedor</t>
        </is>
      </c>
      <c r="H12" s="7" t="inlineStr">
        <is>
          <t>Backend (Puertos/Adaptadores Django) + APIs Logística</t>
        </is>
      </c>
      <c r="I12" s="7" t="inlineStr">
        <is>
          <t>Alta</t>
        </is>
      </c>
      <c r="J12" s="7" t="n">
        <v>8</v>
      </c>
      <c r="K12" s="28" t="inlineStr">
        <is>
          <t>Sprint 3</t>
        </is>
      </c>
      <c r="L12" s="7" t="inlineStr">
        <is>
          <t>Por Hacer</t>
        </is>
      </c>
      <c r="M12" s="8">
        <f>IF(L12="Completado", 1, IF(L12="En Revisión / QA", 0.8, IF(L12="En Progreso", 0.4, 0)))</f>
        <v/>
      </c>
      <c r="N12" s="28" t="inlineStr">
        <is>
          <t>Vicente Mena (Backend / Couriers)</t>
        </is>
      </c>
      <c r="O12" s="7" t="inlineStr">
        <is>
          <t>Depende de RF-02.1 y RNF-02. Integracion de cotizacion Starken, Chilexpress y retiro local.</t>
        </is>
      </c>
      <c r="P12" s="18" t="inlineStr">
        <is>
          <t>backend/apps/logistics/adapters/ (planificado)</t>
        </is>
      </c>
      <c r="Q12" s="18" t="inlineStr">
        <is>
          <t>test_courier_adapters.py (planificado)</t>
        </is>
      </c>
      <c r="R12" s="23" t="inlineStr">
        <is>
          <t>Pendiente (Sprints Futuros)</t>
        </is>
      </c>
    </row>
    <row r="13">
      <c r="A13" s="7" t="inlineStr">
        <is>
          <t>RF-02.4</t>
        </is>
      </c>
      <c r="B13" s="7" t="inlineStr">
        <is>
          <t>Funcional</t>
        </is>
      </c>
      <c r="C13" s="7" t="inlineStr">
        <is>
          <t>RF-02: Carrito, Pagos y Logística</t>
        </is>
      </c>
      <c r="D13" s="7" t="inlineStr">
        <is>
          <t>Portal de Seguimiento (Tracking) para Compradores</t>
        </is>
      </c>
      <c r="E13" s="7" t="inlineStr">
        <is>
          <t>El sistema deberá proveer una interfaz gráfica para que el comprador pueda visualizar el estado actualizado de su despacho. Para los compradores con cuenta registrada, el seguimiento estará disponible dentro de su “Historial de Pedidos”. Para compradores invitados, el sistema proveerá un enlace de seguimiento público y seguro donde el usuario validará su consulta ingresando su número de orden y correo electrónico. El sistema abstraerá la complejidad consumiendo la API del proveedor logístico seleccionado (ej. Starken, Chilexpress) a través de un adaptador hexagonal, y mostrará al comprador una línea de tiempo estandarizada del envío (ej. En origen → En tránsito → En reparto).</t>
        </is>
      </c>
      <c r="F13" s="7" t="inlineStr">
        <is>
          <t>Dado que un comprador ingresa su número de orden y correo en el portal de tracking, cuando el pedido existe en la base de datos, entonces el sistema despliega el historial y estado actualizado de despacho en tiempo real.</t>
        </is>
      </c>
      <c r="G13" s="7" t="inlineStr">
        <is>
          <t>Comprador</t>
        </is>
      </c>
      <c r="H13" s="7" t="inlineStr">
        <is>
          <t>Fullstack (Django + React + Adaptador Logístico)</t>
        </is>
      </c>
      <c r="I13" s="7" t="inlineStr">
        <is>
          <t>Alta</t>
        </is>
      </c>
      <c r="J13" s="7" t="n">
        <v>8</v>
      </c>
      <c r="K13" s="28" t="inlineStr">
        <is>
          <t>Sprint 3</t>
        </is>
      </c>
      <c r="L13" s="7" t="inlineStr">
        <is>
          <t>Por Hacer</t>
        </is>
      </c>
      <c r="M13" s="8">
        <f>IF(L13="Completado", 1, IF(L13="En Revisión / QA", 0.8, IF(L13="En Progreso", 0.4, 0)))</f>
        <v/>
      </c>
      <c r="N13" s="28" t="inlineStr">
        <is>
          <t>Nathaly Torres (Frontend / UI)</t>
        </is>
      </c>
      <c r="O13" s="7" t="inlineStr">
        <is>
          <t>Depende de RF-02.3 y RF-03.3. Portal publico de rastreo en tiempo real para compradores.</t>
        </is>
      </c>
      <c r="P13" s="18" t="inlineStr">
        <is>
          <t>frontend/src/pages/TrackingPortalPage.jsx (planificado)</t>
        </is>
      </c>
      <c r="Q13" s="18" t="inlineStr">
        <is>
          <t>test_tracking_portal.py (planificado)</t>
        </is>
      </c>
      <c r="R13" s="23" t="inlineStr">
        <is>
          <t>Pendiente (Sprints Futuros)</t>
        </is>
      </c>
    </row>
    <row r="14">
      <c r="A14" s="7" t="inlineStr">
        <is>
          <t>RF-03.1</t>
        </is>
      </c>
      <c r="B14" s="7" t="inlineStr">
        <is>
          <t>Funcional</t>
        </is>
      </c>
      <c r="C14" s="7" t="inlineStr">
        <is>
          <t>RF-03: Administración (Backoffice)</t>
        </is>
      </c>
      <c r="D14" s="7" t="inlineStr">
        <is>
          <t>Dashboard Operativo</t>
        </is>
      </c>
      <c r="E14" s="7" t="inlineStr">
        <is>
          <t>El emprendedor contará con un panel de control inicial (Dashboard) que graficará el rendimiento comercial, listando las últimas órdenes, nivel de ventas mensual e histórico (filtrable por fecha).</t>
        </is>
      </c>
      <c r="F14" s="7" t="inlineStr">
        <is>
          <t>Dado que el emprendedor accede al panel de administración, cuando carga el dashboard operativo, entonces visualiza indicadores clave de ventas, pedidos pendientes y alertas de productos con bajo inventario.</t>
        </is>
      </c>
      <c r="G14" s="7" t="inlineStr">
        <is>
          <t>Emprendedor</t>
        </is>
      </c>
      <c r="H14" s="7" t="inlineStr">
        <is>
          <t>Fullstack (React + Django + PostgreSQL)</t>
        </is>
      </c>
      <c r="I14" s="7" t="inlineStr">
        <is>
          <t>Media</t>
        </is>
      </c>
      <c r="J14" s="7" t="n">
        <v>5</v>
      </c>
      <c r="K14" s="28" t="inlineStr">
        <is>
          <t>Sprint 2</t>
        </is>
      </c>
      <c r="L14" s="7" t="inlineStr">
        <is>
          <t>Por Hacer</t>
        </is>
      </c>
      <c r="M14" s="8">
        <f>IF(L14="Completado", 1, IF(L14="En Revisión / QA", 0.8, IF(L14="En Progreso", 0.4, 0)))</f>
        <v/>
      </c>
      <c r="N14" s="28" t="inlineStr">
        <is>
          <t>Nathaly Torres (Frontend / UI)</t>
        </is>
      </c>
      <c r="O14" s="7" t="inlineStr">
        <is>
          <t>Depende de RF-03.2 y RF-03.3. Metricas clave operativas, ventas y alertas de stock bajo.</t>
        </is>
      </c>
      <c r="P14" s="18" t="inlineStr">
        <is>
          <t>frontend/src/pages/AdminDashboardPage.jsx (planificado)</t>
        </is>
      </c>
      <c r="Q14" s="18" t="inlineStr">
        <is>
          <t>test_admin_dashboard.py (planificado)</t>
        </is>
      </c>
      <c r="R14" s="23" t="inlineStr">
        <is>
          <t>Pendiente (Sprints Futuros)</t>
        </is>
      </c>
    </row>
    <row r="15">
      <c r="A15" s="7" t="inlineStr">
        <is>
          <t>RF-03.2</t>
        </is>
      </c>
      <c r="B15" s="7" t="inlineStr">
        <is>
          <t>Funcional</t>
        </is>
      </c>
      <c r="C15" s="7" t="inlineStr">
        <is>
          <t>RF-03: Administración (Backoffice)</t>
        </is>
      </c>
      <c r="D15" s="7" t="inlineStr">
        <is>
          <t>Gestión de Inventario (CRUD)</t>
        </is>
      </c>
      <c r="E15" s="7" t="inlineStr">
        <is>
          <t>El panel permitirá crear, leer, actualizar y eliminar (CRUD) productos, incluyendo el control numérico de stock y la subida de una galería de imágenes.</t>
        </is>
      </c>
      <c r="F15" s="7" t="inlineStr">
        <is>
          <t>Dado que el emprendedor gestiona su inventario en el backoffice, cuando crea, edita o elimina un ítem, entonces los cambios se reflejan inmediatamente en el catálogo público y en el control de existencias.</t>
        </is>
      </c>
      <c r="G15" s="7" t="inlineStr">
        <is>
          <t>Emprendedor</t>
        </is>
      </c>
      <c r="H15" s="7" t="inlineStr">
        <is>
          <t>Fullstack (React + Django + MongoDB + PostgreSQL)</t>
        </is>
      </c>
      <c r="I15" s="7" t="inlineStr">
        <is>
          <t>Alta</t>
        </is>
      </c>
      <c r="J15" s="7" t="n">
        <v>5</v>
      </c>
      <c r="K15" s="28" t="inlineStr">
        <is>
          <t>Sprint 2</t>
        </is>
      </c>
      <c r="L15" s="7" t="inlineStr">
        <is>
          <t>Por Hacer</t>
        </is>
      </c>
      <c r="M15" s="8">
        <f>IF(L15="Completado", 1, IF(L15="En Revisión / QA", 0.8, IF(L15="En Progreso", 0.4, 0)))</f>
        <v/>
      </c>
      <c r="N15" s="28" t="inlineStr">
        <is>
          <t>Emanuel Gangas (Backend / Inventario)</t>
        </is>
      </c>
      <c r="O15" s="7" t="inlineStr">
        <is>
          <t>Depende de RN-03 y RF-01.3. CRUD completo de inventario y actualizacion atomica.</t>
        </is>
      </c>
      <c r="P15" s="18" t="inlineStr">
        <is>
          <t>backend/apps/catalog/application/use_cases.py (CRUD)</t>
        </is>
      </c>
      <c r="Q15" s="18" t="inlineStr">
        <is>
          <t>test_inventory_crud.py (planificado)</t>
        </is>
      </c>
      <c r="R15" s="23" t="inlineStr">
        <is>
          <t>Pendiente (Sprints Futuros)</t>
        </is>
      </c>
    </row>
    <row r="16">
      <c r="A16" s="7" t="inlineStr">
        <is>
          <t>RF-03.3</t>
        </is>
      </c>
      <c r="B16" s="7" t="inlineStr">
        <is>
          <t>Funcional</t>
        </is>
      </c>
      <c r="C16" s="7" t="inlineStr">
        <is>
          <t>RF-03: Administración (Backoffice)</t>
        </is>
      </c>
      <c r="D16" s="7" t="inlineStr">
        <is>
          <t>Gestión de Pedidos y Tracking</t>
        </is>
      </c>
      <c r="E16" s="7" t="inlineStr">
        <is>
          <t>El emprendedor visualizará un listado con todas las órdenes de compra. Podrá actualizar el estado del pedido (Pendiente, Pagado, En Preparación, Despachado, Entregado, Cancelado) para realizar seguimiento y trazabilidad de la compra hacia el cliente.</t>
        </is>
      </c>
      <c r="F16" s="7" t="inlineStr">
        <is>
          <t>Dado que un pedido cambia de estado en el panel de administración, cuando el operador guarda la actualización y el número de tracking, entonces el sistema sincroniza el registro transaccional y habilita la trazabilidad.</t>
        </is>
      </c>
      <c r="G16" s="7" t="inlineStr">
        <is>
          <t>Emprendedor</t>
        </is>
      </c>
      <c r="H16" s="7" t="inlineStr">
        <is>
          <t>Fullstack (React + Django + PostgreSQL)</t>
        </is>
      </c>
      <c r="I16" s="7" t="inlineStr">
        <is>
          <t>Alta</t>
        </is>
      </c>
      <c r="J16" s="7" t="n">
        <v>5</v>
      </c>
      <c r="K16" s="28" t="inlineStr">
        <is>
          <t>Sprint 2</t>
        </is>
      </c>
      <c r="L16" s="7" t="inlineStr">
        <is>
          <t>Por Hacer</t>
        </is>
      </c>
      <c r="M16" s="8">
        <f>IF(L16="Completado", 1, IF(L16="En Revisión / QA", 0.8, IF(L16="En Progreso", 0.4, 0)))</f>
        <v/>
      </c>
      <c r="N16" s="28" t="inlineStr">
        <is>
          <t>Vicente Mena (Fullstack / Pedidos)</t>
        </is>
      </c>
      <c r="O16" s="7" t="inlineStr">
        <is>
          <t>Depende de RF-02.2 y RF-02.3. Transicion de estados de pedidos (Pagado, Preparando, Enviado).</t>
        </is>
      </c>
      <c r="P16" s="18" t="inlineStr">
        <is>
          <t>backend/apps/orders/ (planificado)</t>
        </is>
      </c>
      <c r="Q16" s="18" t="inlineStr">
        <is>
          <t>test_order_lifecycle.py (planificado)</t>
        </is>
      </c>
      <c r="R16" s="23" t="inlineStr">
        <is>
          <t>Pendiente (Sprints Futuros)</t>
        </is>
      </c>
    </row>
    <row r="17">
      <c r="A17" s="7" t="inlineStr">
        <is>
          <t>RF-03.4</t>
        </is>
      </c>
      <c r="B17" s="7" t="inlineStr">
        <is>
          <t>Funcional</t>
        </is>
      </c>
      <c r="C17" s="7" t="inlineStr">
        <is>
          <t>RF-03: Administración (Backoffice)</t>
        </is>
      </c>
      <c r="D17" s="7" t="inlineStr">
        <is>
          <t>Gestión de Variantes de Producto (SKUs)</t>
        </is>
      </c>
      <c r="E17" s="7" t="inlineStr">
        <is>
          <t>El sistema deberá permitir desglosar el inventario de un producto en variantes basadas en atributos dinámicos (ej. talla, color, capacidad). El control de stock y la validación de compra se realizarán de forma estricta a nivel de variante, y no únicamente a nivel del producto "padre".</t>
        </is>
      </c>
      <c r="F17" s="7" t="inlineStr">
        <is>
          <t>Dado que una variante específica agota su stock individual, cuando un cliente selecciona dicha combinación en la tienda, entonces el selector deshabilita la compra de esa variante permitiendo comprar las que tengan disponibilidad.</t>
        </is>
      </c>
      <c r="G17" s="7" t="inlineStr">
        <is>
          <t>Emprendedor / Comprador</t>
        </is>
      </c>
      <c r="H17" s="7" t="inlineStr">
        <is>
          <t>Fullstack (Django + MongoDB + PostgreSQL + React)</t>
        </is>
      </c>
      <c r="I17" s="7" t="inlineStr">
        <is>
          <t>Alta</t>
        </is>
      </c>
      <c r="J17" s="7" t="n">
        <v>8</v>
      </c>
      <c r="K17" s="28" t="inlineStr">
        <is>
          <t>Sprint 2</t>
        </is>
      </c>
      <c r="L17" s="7" t="inlineStr">
        <is>
          <t>Por Hacer</t>
        </is>
      </c>
      <c r="M17" s="8">
        <f>IF(L17="Completado", 1, IF(L17="En Revisión / QA", 0.8, IF(L17="En Progreso", 0.4, 0)))</f>
        <v/>
      </c>
      <c r="N17" s="28" t="inlineStr">
        <is>
          <t>Emanuel Gangas (Backend) / Nathaly Torres (Frontend)</t>
        </is>
      </c>
      <c r="O17" s="7" t="inlineStr">
        <is>
          <t>Depende de RF-01.3 y RF-03.2. Desglose de inventario por SKU y combinaciones de atributos.</t>
        </is>
      </c>
      <c r="P17" s="18" t="inlineStr">
        <is>
          <t>backend/apps/catalog/domain/entities.py (SKUVariant)</t>
        </is>
      </c>
      <c r="Q17" s="18" t="inlineStr">
        <is>
          <t>test_sku_variants.py (planificado)</t>
        </is>
      </c>
      <c r="R17" s="23" t="inlineStr">
        <is>
          <t>Pendiente (Sprints Futuros)</t>
        </is>
      </c>
    </row>
    <row r="18">
      <c r="A18" s="7" t="inlineStr">
        <is>
          <t>RF-03.5</t>
        </is>
      </c>
      <c r="B18" s="7" t="inlineStr">
        <is>
          <t>Funcional</t>
        </is>
      </c>
      <c r="C18" s="7" t="inlineStr">
        <is>
          <t>RF-03: Administración (Backoffice)</t>
        </is>
      </c>
      <c r="D18" s="7" t="inlineStr">
        <is>
          <t>Gestión de Páginas Informativas y Legales</t>
        </is>
      </c>
      <c r="E18" s="7" t="inlineStr">
        <is>
          <t>El panel de administración proveerá un módulo para que el emprendedor cree, edite y publique páginas de texto estáticas. Esto garantizará que la tienda pueda exhibir documentos de cumplimiento legal exigidos por las pasarelas de pago, tales como "Términos y Condiciones", "Políticas de Privacidad" y "Políticas de Reembolso".</t>
        </is>
      </c>
      <c r="F18" s="7" t="inlineStr">
        <is>
          <t>Dado que el administrador publica páginas informativas (Términos, Políticas de Devolución), cuando un cliente accede a sus enlaces desde el footer, entonces visualiza el contenido legal actualizado.</t>
        </is>
      </c>
      <c r="G18" s="7" t="inlineStr">
        <is>
          <t>Emprendedor / Comprador</t>
        </is>
      </c>
      <c r="H18" s="7" t="inlineStr">
        <is>
          <t>Fullstack (React + Django + PostgreSQL)</t>
        </is>
      </c>
      <c r="I18" s="7" t="inlineStr">
        <is>
          <t>Alta</t>
        </is>
      </c>
      <c r="J18" s="7" t="n">
        <v>3</v>
      </c>
      <c r="K18" s="28" t="inlineStr">
        <is>
          <t>Sprint 2</t>
        </is>
      </c>
      <c r="L18" s="7" t="inlineStr">
        <is>
          <t>Por Hacer</t>
        </is>
      </c>
      <c r="M18" s="8">
        <f>IF(L18="Completado", 1, IF(L18="En Revisión / QA", 0.8, IF(L18="En Progreso", 0.4, 0)))</f>
        <v/>
      </c>
      <c r="N18" s="28" t="inlineStr">
        <is>
          <t>Nathaly Torres (Frontend / UI)</t>
        </is>
      </c>
      <c r="O18" s="7" t="inlineStr">
        <is>
          <t>Depende de RF-01.2. Modulo de paginas legales (Terminos, Politicas de Devolucion).</t>
        </is>
      </c>
      <c r="P18" s="18" t="inlineStr">
        <is>
          <t>frontend/src/pages/LegalPage.jsx (planificado)</t>
        </is>
      </c>
      <c r="Q18" s="18" t="inlineStr">
        <is>
          <t>test_legal_pages.py (planificado)</t>
        </is>
      </c>
      <c r="R18" s="23" t="inlineStr">
        <is>
          <t>Pendiente (Sprints Futuros)</t>
        </is>
      </c>
    </row>
    <row r="19">
      <c r="A19" s="7" t="inlineStr">
        <is>
          <t>RF-04.1</t>
        </is>
      </c>
      <c r="B19" s="7" t="inlineStr">
        <is>
          <t>Funcional</t>
        </is>
      </c>
      <c r="C19" s="7" t="inlineStr">
        <is>
          <t>RF-04: Marketing, Operaciones y SEO</t>
        </is>
      </c>
      <c r="D19" s="7" t="inlineStr">
        <is>
          <t>Gestión de Promociones y Códigos de Descuento</t>
        </is>
      </c>
      <c r="E19" s="7" t="inlineStr">
        <is>
          <t>El sistema deberá permitir al emprendedor configurar reglas comerciales para incentivar las ventas. Esto incluye la creación de códigos de descuento (con rebajas por porcentaje o monto fijo), la configuración de envío gratuito por compras superiores a un umbral, y la visualización de "precio oferta" (precio original tachado) en el catálogo.</t>
        </is>
      </c>
      <c r="F19" s="7" t="inlineStr">
        <is>
          <t>Dado que un cliente ingresa un código de descuento válido en el checkout, cuando el cupón cumple las condiciones de vigencia y monto mínimo, entonces el sistema aplica la rebaja porcentual o fija sobre el subtotal.</t>
        </is>
      </c>
      <c r="G19" s="7" t="inlineStr">
        <is>
          <t>Emprendedor / Comprador</t>
        </is>
      </c>
      <c r="H19" s="7" t="inlineStr">
        <is>
          <t>Fullstack (React + Django + PostgreSQL)</t>
        </is>
      </c>
      <c r="I19" s="7" t="inlineStr">
        <is>
          <t>Media</t>
        </is>
      </c>
      <c r="J19" s="7" t="n">
        <v>5</v>
      </c>
      <c r="K19" s="28" t="inlineStr">
        <is>
          <t>Sprint 4</t>
        </is>
      </c>
      <c r="L19" s="7" t="inlineStr">
        <is>
          <t>Por Hacer</t>
        </is>
      </c>
      <c r="M19" s="8">
        <f>IF(L19="Completado", 1, IF(L19="En Revisión / QA", 0.8, IF(L19="En Progreso", 0.4, 0)))</f>
        <v/>
      </c>
      <c r="N19" s="28" t="inlineStr">
        <is>
          <t>Emanuel Gangas (Backend / Promociones)</t>
        </is>
      </c>
      <c r="O19" s="7" t="inlineStr">
        <is>
          <t>Depende de RF-02.1. Reglas de descuentos porcentuales, montos fijos y vigencias.</t>
        </is>
      </c>
      <c r="P19" s="18" t="inlineStr">
        <is>
          <t>backend/apps/promotions/ (planificado)</t>
        </is>
      </c>
      <c r="Q19" s="18" t="inlineStr">
        <is>
          <t>test_coupon_validation.py (planificado)</t>
        </is>
      </c>
      <c r="R19" s="23" t="inlineStr">
        <is>
          <t>Pendiente (Sprints Futuros)</t>
        </is>
      </c>
    </row>
    <row r="20">
      <c r="A20" s="7" t="inlineStr">
        <is>
          <t>RF-04.2</t>
        </is>
      </c>
      <c r="B20" s="7" t="inlineStr">
        <is>
          <t>Funcional</t>
        </is>
      </c>
      <c r="C20" s="7" t="inlineStr">
        <is>
          <t>RF-04: Marketing, Operaciones y SEO</t>
        </is>
      </c>
      <c r="D20" s="7" t="inlineStr">
        <is>
          <t>Notificaciones Transaccionales Automatizadas</t>
        </is>
      </c>
      <c r="E20" s="7" t="inlineStr">
        <is>
          <t>El sistema deberá enviar correos electrónicos automáticos al comprador en los hitos fundamentales del ciclo de vida del pedido, con el fin de otorgar seguridad y trazabilidad. Los envíos mínimos obligatorios serán: 1) Confirmación de recepción del pedido (Resumen de compra), 2) Confirmación de pago exitoso (o aviso de rechazo), 3) Notificación de despacho (incluyendo el enlace al portal de seguimiento).</t>
        </is>
      </c>
      <c r="F20" s="7" t="inlineStr">
        <is>
          <t>Dado que un pedido cambia exitosamente a estado Pagado o Enviado, cuando la base de datos registra la actualización, entonces el sistema despacha automáticamente un correo de confirmación al cliente sin intervención manual.</t>
        </is>
      </c>
      <c r="G20" s="7" t="inlineStr">
        <is>
          <t>Sistema / Comprador</t>
        </is>
      </c>
      <c r="H20" s="7" t="inlineStr">
        <is>
          <t>Backend (Django + Servicio SMTP/Email)</t>
        </is>
      </c>
      <c r="I20" s="7" t="inlineStr">
        <is>
          <t>Alta</t>
        </is>
      </c>
      <c r="J20" s="7" t="n">
        <v>5</v>
      </c>
      <c r="K20" s="28" t="inlineStr">
        <is>
          <t>Sprint 4</t>
        </is>
      </c>
      <c r="L20" s="7" t="inlineStr">
        <is>
          <t>Por Hacer</t>
        </is>
      </c>
      <c r="M20" s="8">
        <f>IF(L20="Completado", 1, IF(L20="En Revisión / QA", 0.8, IF(L20="En Progreso", 0.4, 0)))</f>
        <v/>
      </c>
      <c r="N20" s="28" t="inlineStr">
        <is>
          <t>Vicente Mena (Backend / SMTP)</t>
        </is>
      </c>
      <c r="O20" s="7" t="inlineStr">
        <is>
          <t>Depende de RF-02.2 y RF-03.3. Envio transaccional automatico de correos (compra, despacho).</t>
        </is>
      </c>
      <c r="P20" s="18" t="inlineStr">
        <is>
          <t>backend/core/mail/ (planificado)</t>
        </is>
      </c>
      <c r="Q20" s="18" t="inlineStr">
        <is>
          <t>test_transactional_email.py (planificado)</t>
        </is>
      </c>
      <c r="R20" s="23" t="inlineStr">
        <is>
          <t>Pendiente (Sprints Futuros)</t>
        </is>
      </c>
    </row>
    <row r="21">
      <c r="A21" s="7" t="inlineStr">
        <is>
          <t>RF-04.3</t>
        </is>
      </c>
      <c r="B21" s="7" t="inlineStr">
        <is>
          <t>Funcional</t>
        </is>
      </c>
      <c r="C21" s="7" t="inlineStr">
        <is>
          <t>RF-04: Marketing, Operaciones y SEO</t>
        </is>
      </c>
      <c r="D21" s="7" t="inlineStr">
        <is>
          <t>Configuración de Analítica y SEO Básico</t>
        </is>
      </c>
      <c r="E21" s="7" t="inlineStr">
        <is>
          <t>El sistema proporcionará herramientas para optimizar la visibilidad y medición de la tienda. A nivel de producto, se habilitarán campos para ingresar metadatos (Meta-título y Meta-descripción). A nivel global, el panel permitirá al emprendedor ingresar identificadores de rastreo (como el ID de Google Analytics o el Pixel de Meta/Facebook) sin necesidad de intervenir el código fuente.</t>
        </is>
      </c>
      <c r="F21" s="7" t="inlineStr">
        <is>
          <t>Dado que el administrador guarda un ID de Google Analytics o Meta Pixel, cuando un cliente navega por la tienda pública, entonces el sistema inyecta dinámicamente el script de rastreo solo si existe consentimiento previo.</t>
        </is>
      </c>
      <c r="G21" s="7" t="inlineStr">
        <is>
          <t>Emprendedor</t>
        </is>
      </c>
      <c r="H21" s="7" t="inlineStr">
        <is>
          <t>Frontend (React) + Backend (Django)</t>
        </is>
      </c>
      <c r="I21" s="7" t="inlineStr">
        <is>
          <t>Media</t>
        </is>
      </c>
      <c r="J21" s="7" t="n">
        <v>3</v>
      </c>
      <c r="K21" s="28" t="inlineStr">
        <is>
          <t>Sprint 4</t>
        </is>
      </c>
      <c r="L21" s="7" t="inlineStr">
        <is>
          <t>Por Hacer</t>
        </is>
      </c>
      <c r="M21" s="8">
        <f>IF(L21="Completado", 1, IF(L21="En Revisión / QA", 0.8, IF(L21="En Progreso", 0.4, 0)))</f>
        <v/>
      </c>
      <c r="N21" s="28" t="inlineStr">
        <is>
          <t>Nathaly Torres (Frontend / SEO)</t>
        </is>
      </c>
      <c r="O21" s="7" t="inlineStr">
        <is>
          <t>Depende de RF-01.1 y RF-01.2. Meta-tags dinamicos, Google Analytics y Meta Pixel.</t>
        </is>
      </c>
      <c r="P21" s="18" t="inlineStr">
        <is>
          <t>frontend/src/services/seo.js (planificado)</t>
        </is>
      </c>
      <c r="Q21" s="18" t="inlineStr">
        <is>
          <t>test_seo_tags.py (planificado)</t>
        </is>
      </c>
      <c r="R21" s="23" t="inlineStr">
        <is>
          <t>Pendiente (Sprints Futuros)</t>
        </is>
      </c>
    </row>
    <row r="22">
      <c r="A22" s="7" t="inlineStr">
        <is>
          <t>RF-04.4</t>
        </is>
      </c>
      <c r="B22" s="7" t="inlineStr">
        <is>
          <t>Funcional</t>
        </is>
      </c>
      <c r="C22" s="7" t="inlineStr">
        <is>
          <t>RF-04: Marketing, Operaciones y SEO</t>
        </is>
      </c>
      <c r="D22" s="7" t="inlineStr">
        <is>
          <t>Gestión de Privacidad y Consentimiento de Datos</t>
        </is>
      </c>
      <c r="E22" s="7" t="inlineStr">
        <is>
          <t>El sistema deberá garantizar el cumplimiento de normativas de privacidad y protección de datos (ej. Ley de Protección de Datos, GDPR) mediante la captura del consentimiento explícito del comprador. Esto se implementará a través de dos mecanismos obligatorios en la interfaz pública: 1) Banner de Cookies: Aviso emergente al ingresar a la tienda que permita aceptar o rechazar cookies de seguimiento de terceros; si rechaza o ignora, bloquea proactivamente la inyección de scripts de analítica y marketing (RF-04.3). 2) Consentimiento en Checkout: Casilla de verificación (checkbox) obligatoria, desmarcada por defecto, en el paso final del pago exigiendo aceptación explícita de "Términos y Condiciones" y "Políticas de Privacidad" (RF-03.5) antes de habilitar el botón de procesar compra.</t>
        </is>
      </c>
      <c r="F22" s="7" t="inlineStr">
        <is>
          <t>Dado que un comprador nuevo ingresa a la tienda y selecciona Rechazar en el banner de cookies, cuando navega por el catálogo, entonces el Frontend bloquea la ejecución de scripts analíticos y de marketing de terceros.</t>
        </is>
      </c>
      <c r="G22" s="7" t="inlineStr">
        <is>
          <t>Comprador</t>
        </is>
      </c>
      <c r="H22" s="7" t="inlineStr">
        <is>
          <t>Frontend (React) + Backend (Django)</t>
        </is>
      </c>
      <c r="I22" s="7" t="inlineStr">
        <is>
          <t>Alta</t>
        </is>
      </c>
      <c r="J22" s="7" t="n">
        <v>5</v>
      </c>
      <c r="K22" s="28" t="inlineStr">
        <is>
          <t>Sprint 4</t>
        </is>
      </c>
      <c r="L22" s="7" t="inlineStr">
        <is>
          <t>Por Hacer</t>
        </is>
      </c>
      <c r="M22" s="8">
        <f>IF(L22="Completado", 1, IF(L22="En Revisión / QA", 0.8, IF(L22="En Progreso", 0.4, 0)))</f>
        <v/>
      </c>
      <c r="N22" s="28" t="inlineStr">
        <is>
          <t>Nathaly Torres (Frontend / Privacidad)</t>
        </is>
      </c>
      <c r="O22" s="7" t="inlineStr">
        <is>
          <t>Depende de RF-03.5 y RF-04.3. Banner de cookies, bloqueo preventivo y checkbox legal.</t>
        </is>
      </c>
      <c r="P22" s="18" t="inlineStr">
        <is>
          <t>frontend/src/components/common/CookieBanner.jsx (planificado)</t>
        </is>
      </c>
      <c r="Q22" s="18" t="inlineStr">
        <is>
          <t>test_cookie_consent.py (planificado)</t>
        </is>
      </c>
      <c r="R22" s="23" t="inlineStr">
        <is>
          <t>Pendiente (Sprints Futuros)</t>
        </is>
      </c>
    </row>
    <row r="23">
      <c r="A23" s="7" t="inlineStr">
        <is>
          <t>RNF-01</t>
        </is>
      </c>
      <c r="B23" s="7" t="inlineStr">
        <is>
          <t>No Funcional</t>
        </is>
      </c>
      <c r="C23" s="7" t="inlineStr">
        <is>
          <t>RNF: Requerimientos No Funcionales</t>
        </is>
      </c>
      <c r="D23" s="7" t="inlineStr">
        <is>
          <t>Estándares de Calidad, Usabilidad, Accesibilidad y Rendimiento</t>
        </is>
      </c>
      <c r="E23" s="7" t="inlineStr">
        <is>
          <t>1) Diseño Responsivo: La tienda y el panel de administración deben ser completamente utilizables en dispositivos móviles, tablets y computadoras de escritorio. 2) Accesibilidad: Orientación al cumplimiento de pautas WCAG 2.1 nivel AA. 3) Rendimiento: El catálogo público deberá resolver las solicitudes iniciales en un tiempo inferior a 2,5 segundos bajo condiciones estándar.</t>
        </is>
      </c>
      <c r="F23" s="7" t="inlineStr">
        <is>
          <t>Dado que la plataforma se despliega en producción, cuando se somete a pruebas multidispositivo y auditoría de accesibilidad, entonces cumple con diseño responsivo, WCAG 2.1 AA y tiempos de carga inferiores a 2.5s.</t>
        </is>
      </c>
      <c r="G23" s="7" t="inlineStr">
        <is>
          <t>Sistema / Equipo Técnico</t>
        </is>
      </c>
      <c r="H23" s="7" t="inlineStr">
        <is>
          <t>Frontend (React) + Backend (Django)</t>
        </is>
      </c>
      <c r="I23" s="7" t="inlineStr">
        <is>
          <t>Alta</t>
        </is>
      </c>
      <c r="J23" s="7" t="n">
        <v>5</v>
      </c>
      <c r="K23" s="28" t="inlineStr">
        <is>
          <t>Sprint 4</t>
        </is>
      </c>
      <c r="L23" s="7" t="inlineStr">
        <is>
          <t>Por Hacer</t>
        </is>
      </c>
      <c r="M23" s="8">
        <f>IF(L23="Completado", 1, IF(L23="En Revisión / QA", 0.8, IF(L23="En Progreso", 0.4, 0)))</f>
        <v/>
      </c>
      <c r="N23" s="28" t="inlineStr">
        <is>
          <t>Nathaly Torres (Frontend) / Vicente Mena (QA)</t>
        </is>
      </c>
      <c r="O23" s="7" t="inlineStr">
        <is>
          <t>Auditoria transversal en Sprint 4: Diseno responsivo, WCAG 2.1 AA y carga &lt;2.5s.</t>
        </is>
      </c>
      <c r="P23" s="18" t="inlineStr">
        <is>
          <t>frontend/src/ (auditoria Lighthouse / axe-core)</t>
        </is>
      </c>
      <c r="Q23" s="18" t="inlineStr">
        <is>
          <t>test_accessibility_wcag.py (planificado)</t>
        </is>
      </c>
      <c r="R23" s="23" t="inlineStr">
        <is>
          <t>Pendiente (Sprints Futuros)</t>
        </is>
      </c>
    </row>
    <row r="24">
      <c r="A24" s="28" t="inlineStr">
        <is>
          <t>RNF-02</t>
        </is>
      </c>
      <c r="B24" s="7" t="inlineStr">
        <is>
          <t>No Funcional</t>
        </is>
      </c>
      <c r="C24" s="7" t="inlineStr">
        <is>
          <t>RNF: Requerimientos No Funcionales</t>
        </is>
      </c>
      <c r="D24" s="7" t="inlineStr">
        <is>
          <t>Arquitectura Hexagonal y Base de Datos Híbrida</t>
        </is>
      </c>
      <c r="E24" s="7" t="inlineStr">
        <is>
          <t>1) Arquitectura Hexagonal: El código debe estar estructurado en capas (Dominio, Aplicación, Infraestructura) para permitir el fácil recambio o agregación de nuevas pasarelas de pago y logística mediante puertos y adaptadores. 2) Bases de Datos Híbridas: El núcleo transaccional (usuarios, configuraciones, pedidos y facturación) residirá en PostgreSQL. La gestión del catálogo, debido a su naturaleza polimórfica exigida por los múltiples rubros, residirá en MongoDB.</t>
        </is>
      </c>
      <c r="F24" s="7" t="inlineStr">
        <is>
          <t>Dado un caso de uso del dominio, cuando se ejecuta sin dependencias de frameworks ni infraestructura web, entonces el modelo de negocio resuelve la operación y desacopla la persistencia transaccional (PostgreSQL) del catálogo polimórfico (MongoDB).</t>
        </is>
      </c>
      <c r="G24" s="7" t="inlineStr">
        <is>
          <t>Sistema / Equipo Técnico</t>
        </is>
      </c>
      <c r="H24" s="7" t="inlineStr">
        <is>
          <t>Arquitectura / Base de Datos (PostgreSQL / MongoDB)</t>
        </is>
      </c>
      <c r="I24" s="7" t="inlineStr">
        <is>
          <t>Alta</t>
        </is>
      </c>
      <c r="J24" s="7" t="n">
        <v>8</v>
      </c>
      <c r="K24" s="28" t="inlineStr">
        <is>
          <t>Sprint 1</t>
        </is>
      </c>
      <c r="L24" s="7" t="inlineStr">
        <is>
          <t>Completado</t>
        </is>
      </c>
      <c r="M24" s="8">
        <f>IF(L24="Completado", 1, IF(L24="En Revisión / QA", 0.8, IF(L24="En Progreso", 0.4, 0)))</f>
        <v/>
      </c>
      <c r="N24" s="28" t="inlineStr">
        <is>
          <t>Emanuel Gangas (Arquitectura / BD Hibrida)</t>
        </is>
      </c>
      <c r="O24" s="7" t="inlineStr">
        <is>
          <t>Sin dependencias. Capas Dominio/Aplicacion/Infraestructura + PostgreSQL y MongoDB.</t>
        </is>
      </c>
      <c r="P24" s="18" t="inlineStr">
        <is>
          <t>backend/apps/store_config/ y backend/apps/catalog/</t>
        </is>
      </c>
      <c r="Q24" s="18" t="inlineStr">
        <is>
          <t>backend/apps/store_config/infrastructure/tests/ &amp; backend/apps/catalog/infrastructure/tests/</t>
        </is>
      </c>
      <c r="R24" s="14" t="inlineStr">
        <is>
          <t>Ver Evidencia y Dictamen</t>
        </is>
      </c>
    </row>
    <row r="25">
      <c r="A25" s="28" t="inlineStr">
        <is>
          <t>RNF-03</t>
        </is>
      </c>
      <c r="B25" s="7" t="inlineStr">
        <is>
          <t>No Funcional</t>
        </is>
      </c>
      <c r="C25" s="7" t="inlineStr">
        <is>
          <t>RNF: Requerimientos No Funcionales</t>
        </is>
      </c>
      <c r="D25" s="7" t="inlineStr">
        <is>
          <t>Seguridad (Cifrado HTTPS y Hashing de Contraseñas)</t>
        </is>
      </c>
      <c r="E25" s="7" t="inlineStr">
        <is>
          <t>1) Cifrado: Toda la comunicación entre cliente, servidor y APIs de pago deberá cursarse por HTTPS (TLS 1.2+). 2) Contraseñas: Almacenamiento mediante algoritmos de hashing fuertes (Argon2 / bcrypt).</t>
        </is>
      </c>
      <c r="F25" s="7" t="inlineStr">
        <is>
          <t>Dado que un usuario realiza una petición HTTP o registra credenciales en el sistema, cuando la petición llega al servidor, entonces se redirige a HTTPS seguro con cabeceras de protección y la contraseña se persiste exclusivamente con hash Argon2.</t>
        </is>
      </c>
      <c r="G25" s="7" t="inlineStr">
        <is>
          <t>Sistema / Equipo Técnico</t>
        </is>
      </c>
      <c r="H25" s="7" t="inlineStr">
        <is>
          <t>Backend (Django) / Seguridad</t>
        </is>
      </c>
      <c r="I25" s="7" t="inlineStr">
        <is>
          <t>Alta</t>
        </is>
      </c>
      <c r="J25" s="7" t="n">
        <v>3</v>
      </c>
      <c r="K25" s="28" t="inlineStr">
        <is>
          <t>Sprint 1</t>
        </is>
      </c>
      <c r="L25" s="7" t="inlineStr">
        <is>
          <t>Completado</t>
        </is>
      </c>
      <c r="M25" s="8">
        <f>IF(L25="Completado", 1, IF(L25="En Revisión / QA", 0.8, IF(L25="En Progreso", 0.4, 0)))</f>
        <v/>
      </c>
      <c r="N25" s="28" t="inlineStr">
        <is>
          <t>Vicente Mena (Seguridad / QA)</t>
        </is>
      </c>
      <c r="O25" s="7" t="inlineStr">
        <is>
          <t>Depende de RNF-02. Cifrado HTTPS forzado y hashing fuerte de contrasenas con Argon2.</t>
        </is>
      </c>
      <c r="P25" s="18" t="inlineStr">
        <is>
          <t>backend/core/settings.py (PASSWORD_HASHERS, SECURE_SSL_REDIRECT)</t>
        </is>
      </c>
      <c r="Q25" s="18" t="inlineStr">
        <is>
          <t>backend/apps/store_config/infrastructure/tests/test_store_config.py</t>
        </is>
      </c>
      <c r="R25" s="14" t="inlineStr">
        <is>
          <t>Ver Evidencia y Dictamen</t>
        </is>
      </c>
    </row>
    <row r="26">
      <c r="A26" s="7" t="inlineStr">
        <is>
          <t>RNF-04</t>
        </is>
      </c>
      <c r="B26" s="7" t="inlineStr">
        <is>
          <t>No Funcional</t>
        </is>
      </c>
      <c r="C26" s="7" t="inlineStr">
        <is>
          <t>RNF: Requerimientos No Funcionales</t>
        </is>
      </c>
      <c r="D26" s="7" t="inlineStr">
        <is>
          <t>Entregables (Manual de Despliegue Técnico)</t>
        </is>
      </c>
      <c r="E26" s="7" t="inlineStr">
        <is>
          <t>Dado que el equipo no realizará el paso a producción, el software deberá entregarse con un Manual de Despliegue Técnico estructurado. Se proporcionarán las instrucciones necesarias de configuración de variables de entorno y despliegue según el proveedor de hosting que decida el cliente final.</t>
        </is>
      </c>
      <c r="F26" s="7" t="inlineStr">
        <is>
          <t>Dado que el cliente final requiere desplegar la solución de forma autónoma, cuando sigue las instrucciones del Manual de Despliegue Técnico, entonces logra levantar exitosamente el backend, frontend, PostgreSQL y MongoDB con sus variables de entorno.</t>
        </is>
      </c>
      <c r="G26" s="7" t="inlineStr">
        <is>
          <t>Equipo Técnico / Emprendedor</t>
        </is>
      </c>
      <c r="H26" s="7" t="inlineStr">
        <is>
          <t>Arquitectura / Docs</t>
        </is>
      </c>
      <c r="I26" s="7" t="inlineStr">
        <is>
          <t>Alta</t>
        </is>
      </c>
      <c r="J26" s="7" t="n">
        <v>3</v>
      </c>
      <c r="K26" s="28" t="inlineStr">
        <is>
          <t>Sprint 4</t>
        </is>
      </c>
      <c r="L26" s="7" t="inlineStr">
        <is>
          <t>Por Hacer</t>
        </is>
      </c>
      <c r="M26" s="8">
        <f>IF(L26="Completado", 1, IF(L26="En Revisión / QA", 0.8, IF(L26="En Progreso", 0.4, 0)))</f>
        <v/>
      </c>
      <c r="N26" s="28" t="inlineStr">
        <is>
          <t>Vicente Mena (DevOps) / Emanuel Gangas (Backend)</t>
        </is>
      </c>
      <c r="O26" s="7" t="inlineStr">
        <is>
          <t>Depende del cierre de componentes de codigo y configuracion de entorno.</t>
        </is>
      </c>
      <c r="P26" s="18" t="inlineStr">
        <is>
          <t>docker-compose.yml y Docs/Manual_Despliegue_Tecnico.md</t>
        </is>
      </c>
      <c r="Q26" s="18" t="inlineStr">
        <is>
          <t>Verificacion de despliegue reproducible en contenedor</t>
        </is>
      </c>
      <c r="R26" s="23" t="inlineStr">
        <is>
          <t>Pendiente (Sprints Futuros)</t>
        </is>
      </c>
    </row>
    <row r="27">
      <c r="I27" s="10" t="n"/>
      <c r="K27" s="10" t="n"/>
      <c r="L27" s="10" t="n"/>
      <c r="M27" s="11" t="n"/>
    </row>
    <row r="28">
      <c r="I28" s="10" t="n"/>
      <c r="K28" s="10" t="n"/>
      <c r="L28" s="10" t="n"/>
      <c r="M28" s="11" t="n"/>
    </row>
    <row r="29">
      <c r="I29" s="10" t="n"/>
      <c r="K29" s="10" t="n"/>
      <c r="L29" s="10" t="n"/>
      <c r="M29" s="11" t="n"/>
    </row>
    <row r="30">
      <c r="I30" s="10" t="n"/>
      <c r="K30" s="10" t="n"/>
      <c r="L30" s="10" t="n"/>
      <c r="M30" s="11" t="n"/>
    </row>
    <row r="31">
      <c r="I31" s="10" t="n"/>
      <c r="K31" s="10" t="n"/>
      <c r="L31" s="10" t="n"/>
      <c r="M31" s="11" t="n"/>
    </row>
    <row r="32">
      <c r="I32" s="10" t="n"/>
      <c r="K32" s="10" t="n"/>
      <c r="L32" s="10" t="n"/>
      <c r="M32" s="11" t="n"/>
    </row>
    <row r="33">
      <c r="I33" s="10" t="n"/>
      <c r="K33" s="10" t="n"/>
      <c r="L33" s="10" t="n"/>
      <c r="M33" s="11" t="n"/>
    </row>
    <row r="34">
      <c r="I34" s="10" t="n"/>
      <c r="K34" s="10" t="n"/>
      <c r="L34" s="10" t="n"/>
      <c r="M34" s="11" t="n"/>
    </row>
    <row r="35">
      <c r="I35" s="10" t="n"/>
      <c r="K35" s="10" t="n"/>
      <c r="L35" s="10" t="n"/>
      <c r="M35" s="11" t="n"/>
    </row>
    <row r="36">
      <c r="I36" s="10" t="n"/>
      <c r="K36" s="10" t="n"/>
      <c r="L36" s="10" t="n"/>
      <c r="M36" s="11" t="n"/>
    </row>
    <row r="37">
      <c r="I37" s="10" t="n"/>
      <c r="K37" s="10" t="n"/>
      <c r="L37" s="10" t="n"/>
      <c r="M37" s="11" t="n"/>
    </row>
    <row r="38">
      <c r="I38" s="10" t="n"/>
      <c r="K38" s="10" t="n"/>
      <c r="L38" s="10" t="n"/>
      <c r="M38" s="11" t="n"/>
    </row>
    <row r="39">
      <c r="I39" s="10" t="n"/>
      <c r="K39" s="10" t="n"/>
      <c r="L39" s="10" t="n"/>
      <c r="M39" s="11" t="n"/>
    </row>
    <row r="40">
      <c r="I40" s="10" t="n"/>
      <c r="K40" s="10" t="n"/>
      <c r="L40" s="10" t="n"/>
      <c r="M40" s="11" t="n"/>
    </row>
    <row r="41">
      <c r="I41" s="10" t="n"/>
      <c r="K41" s="10" t="n"/>
      <c r="L41" s="10" t="n"/>
      <c r="M41" s="11" t="n"/>
    </row>
    <row r="42">
      <c r="I42" s="10" t="n"/>
      <c r="K42" s="10" t="n"/>
      <c r="L42" s="10" t="n"/>
      <c r="M42" s="11" t="n"/>
    </row>
    <row r="43">
      <c r="I43" s="10" t="n"/>
      <c r="K43" s="10" t="n"/>
      <c r="L43" s="10" t="n"/>
      <c r="M43" s="11" t="n"/>
    </row>
    <row r="44">
      <c r="I44" s="10" t="n"/>
      <c r="K44" s="10" t="n"/>
      <c r="L44" s="10" t="n"/>
      <c r="M44" s="11" t="n"/>
    </row>
    <row r="45">
      <c r="I45" s="10" t="n"/>
      <c r="K45" s="10" t="n"/>
      <c r="L45" s="10" t="n"/>
      <c r="M45" s="11" t="n"/>
    </row>
    <row r="46">
      <c r="I46" s="10" t="n"/>
      <c r="K46" s="10" t="n"/>
      <c r="L46" s="10" t="n"/>
      <c r="M46" s="11" t="n"/>
    </row>
    <row r="47">
      <c r="I47" s="10" t="n"/>
      <c r="K47" s="10" t="n"/>
      <c r="L47" s="10" t="n"/>
      <c r="M47" s="11" t="n"/>
    </row>
    <row r="48">
      <c r="I48" s="10" t="n"/>
      <c r="K48" s="10" t="n"/>
      <c r="L48" s="10" t="n"/>
      <c r="M48" s="11" t="n"/>
    </row>
    <row r="49">
      <c r="I49" s="10" t="n"/>
      <c r="K49" s="10" t="n"/>
      <c r="L49" s="10" t="n"/>
      <c r="M49" s="11" t="n"/>
    </row>
    <row r="50">
      <c r="I50" s="10" t="n"/>
      <c r="K50" s="10" t="n"/>
      <c r="L50" s="10" t="n"/>
      <c r="M50" s="11" t="n"/>
    </row>
    <row r="51">
      <c r="I51" s="10" t="n"/>
      <c r="K51" s="10" t="n"/>
      <c r="L51" s="10" t="n"/>
      <c r="M51" s="11" t="n"/>
    </row>
    <row r="52">
      <c r="I52" s="10" t="n"/>
      <c r="K52" s="10" t="n"/>
      <c r="L52" s="10" t="n"/>
      <c r="M52" s="11" t="n"/>
    </row>
    <row r="53">
      <c r="I53" s="10" t="n"/>
      <c r="K53" s="10" t="n"/>
      <c r="L53" s="10" t="n"/>
      <c r="M53" s="11" t="n"/>
    </row>
    <row r="54">
      <c r="I54" s="10" t="n"/>
      <c r="K54" s="10" t="n"/>
      <c r="L54" s="10" t="n"/>
      <c r="M54" s="11" t="n"/>
    </row>
    <row r="55">
      <c r="I55" s="10" t="n"/>
      <c r="K55" s="10" t="n"/>
      <c r="L55" s="10" t="n"/>
      <c r="M55" s="11" t="n"/>
    </row>
    <row r="56">
      <c r="I56" s="10" t="n"/>
      <c r="K56" s="10" t="n"/>
      <c r="L56" s="10" t="n"/>
      <c r="M56" s="11" t="n"/>
    </row>
    <row r="57">
      <c r="I57" s="10" t="n"/>
      <c r="K57" s="10" t="n"/>
      <c r="L57" s="10" t="n"/>
      <c r="M57" s="11" t="n"/>
    </row>
    <row r="58">
      <c r="I58" s="10" t="n"/>
      <c r="K58" s="10" t="n"/>
      <c r="L58" s="10" t="n"/>
      <c r="M58" s="11" t="n"/>
    </row>
    <row r="59">
      <c r="I59" s="10" t="n"/>
      <c r="K59" s="10" t="n"/>
      <c r="L59" s="10" t="n"/>
      <c r="M59" s="11" t="n"/>
    </row>
    <row r="60">
      <c r="I60" s="10" t="n"/>
      <c r="K60" s="10" t="n"/>
      <c r="L60" s="10" t="n"/>
      <c r="M60" s="11" t="n"/>
    </row>
    <row r="61">
      <c r="I61" s="10" t="n"/>
      <c r="K61" s="10" t="n"/>
      <c r="L61" s="10" t="n"/>
      <c r="M61" s="11" t="n"/>
    </row>
    <row r="62">
      <c r="I62" s="10" t="n"/>
      <c r="K62" s="10" t="n"/>
      <c r="L62" s="10" t="n"/>
      <c r="M62" s="11" t="n"/>
    </row>
    <row r="63">
      <c r="I63" s="10" t="n"/>
      <c r="K63" s="10" t="n"/>
      <c r="L63" s="10" t="n"/>
      <c r="M63" s="11" t="n"/>
    </row>
    <row r="64">
      <c r="I64" s="10" t="n"/>
      <c r="K64" s="10" t="n"/>
      <c r="L64" s="10" t="n"/>
      <c r="M64" s="11" t="n"/>
    </row>
    <row r="65">
      <c r="I65" s="10" t="n"/>
      <c r="K65" s="10" t="n"/>
      <c r="L65" s="10" t="n"/>
      <c r="M65" s="11" t="n"/>
    </row>
    <row r="66">
      <c r="I66" s="10" t="n"/>
      <c r="K66" s="10" t="n"/>
      <c r="L66" s="10" t="n"/>
      <c r="M66" s="11" t="n"/>
    </row>
    <row r="67">
      <c r="I67" s="10" t="n"/>
      <c r="K67" s="10" t="n"/>
      <c r="L67" s="10" t="n"/>
      <c r="M67" s="11" t="n"/>
    </row>
    <row r="68">
      <c r="I68" s="10" t="n"/>
      <c r="K68" s="10" t="n"/>
      <c r="L68" s="10" t="n"/>
      <c r="M68" s="11" t="n"/>
    </row>
    <row r="69">
      <c r="I69" s="10" t="n"/>
      <c r="K69" s="10" t="n"/>
      <c r="L69" s="10" t="n"/>
      <c r="M69" s="11" t="n"/>
    </row>
    <row r="70">
      <c r="I70" s="10" t="n"/>
      <c r="K70" s="10" t="n"/>
      <c r="L70" s="10" t="n"/>
      <c r="M70" s="11" t="n"/>
    </row>
    <row r="71">
      <c r="I71" s="10" t="n"/>
      <c r="K71" s="10" t="n"/>
      <c r="L71" s="10" t="n"/>
      <c r="M71" s="11" t="n"/>
    </row>
    <row r="72">
      <c r="I72" s="10" t="n"/>
      <c r="K72" s="10" t="n"/>
      <c r="L72" s="10" t="n"/>
      <c r="M72" s="11" t="n"/>
    </row>
    <row r="73">
      <c r="I73" s="10" t="n"/>
      <c r="K73" s="10" t="n"/>
      <c r="L73" s="10" t="n"/>
      <c r="M73" s="11" t="n"/>
    </row>
    <row r="74">
      <c r="I74" s="10" t="n"/>
      <c r="K74" s="10" t="n"/>
      <c r="L74" s="10" t="n"/>
      <c r="M74" s="11" t="n"/>
    </row>
    <row r="75">
      <c r="I75" s="10" t="n"/>
      <c r="K75" s="10" t="n"/>
      <c r="L75" s="10" t="n"/>
      <c r="M75" s="11" t="n"/>
    </row>
    <row r="76">
      <c r="I76" s="10" t="n"/>
      <c r="K76" s="10" t="n"/>
      <c r="L76" s="10" t="n"/>
      <c r="M76" s="11" t="n"/>
    </row>
    <row r="77">
      <c r="I77" s="10" t="n"/>
      <c r="K77" s="10" t="n"/>
      <c r="L77" s="10" t="n"/>
      <c r="M77" s="11" t="n"/>
    </row>
    <row r="78">
      <c r="I78" s="10" t="n"/>
      <c r="K78" s="10" t="n"/>
      <c r="L78" s="10" t="n"/>
      <c r="M78" s="11" t="n"/>
    </row>
    <row r="79">
      <c r="I79" s="10" t="n"/>
      <c r="K79" s="10" t="n"/>
      <c r="L79" s="10" t="n"/>
      <c r="M79" s="11" t="n"/>
    </row>
    <row r="80">
      <c r="I80" s="10" t="n"/>
      <c r="K80" s="10" t="n"/>
      <c r="L80" s="10" t="n"/>
      <c r="M80" s="11" t="n"/>
    </row>
    <row r="81">
      <c r="I81" s="10" t="n"/>
      <c r="K81" s="10" t="n"/>
      <c r="L81" s="10" t="n"/>
      <c r="M81" s="11" t="n"/>
    </row>
    <row r="82">
      <c r="I82" s="10" t="n"/>
      <c r="K82" s="10" t="n"/>
      <c r="L82" s="10" t="n"/>
      <c r="M82" s="11" t="n"/>
    </row>
    <row r="83">
      <c r="I83" s="10" t="n"/>
      <c r="K83" s="10" t="n"/>
      <c r="L83" s="10" t="n"/>
      <c r="M83" s="11" t="n"/>
    </row>
    <row r="84">
      <c r="I84" s="10" t="n"/>
      <c r="K84" s="10" t="n"/>
      <c r="L84" s="10" t="n"/>
      <c r="M84" s="11" t="n"/>
    </row>
    <row r="85">
      <c r="I85" s="10" t="n"/>
      <c r="K85" s="10" t="n"/>
      <c r="L85" s="10" t="n"/>
      <c r="M85" s="11" t="n"/>
    </row>
    <row r="86">
      <c r="I86" s="10" t="n"/>
      <c r="K86" s="10" t="n"/>
      <c r="L86" s="10" t="n"/>
      <c r="M86" s="11" t="n"/>
    </row>
    <row r="87">
      <c r="I87" s="10" t="n"/>
      <c r="K87" s="10" t="n"/>
      <c r="L87" s="10" t="n"/>
      <c r="M87" s="11" t="n"/>
    </row>
    <row r="88">
      <c r="I88" s="10" t="n"/>
      <c r="K88" s="10" t="n"/>
      <c r="L88" s="10" t="n"/>
      <c r="M88" s="11" t="n"/>
    </row>
    <row r="89">
      <c r="I89" s="10" t="n"/>
      <c r="K89" s="10" t="n"/>
      <c r="L89" s="10" t="n"/>
      <c r="M89" s="11" t="n"/>
    </row>
    <row r="90">
      <c r="I90" s="10" t="n"/>
      <c r="K90" s="10" t="n"/>
      <c r="L90" s="10" t="n"/>
      <c r="M90" s="11" t="n"/>
    </row>
    <row r="91">
      <c r="I91" s="10" t="n"/>
      <c r="K91" s="10" t="n"/>
      <c r="L91" s="10" t="n"/>
      <c r="M91" s="11" t="n"/>
    </row>
    <row r="92">
      <c r="I92" s="10" t="n"/>
      <c r="K92" s="10" t="n"/>
      <c r="L92" s="10" t="n"/>
      <c r="M92" s="11" t="n"/>
    </row>
    <row r="93">
      <c r="I93" s="10" t="n"/>
      <c r="K93" s="10" t="n"/>
      <c r="L93" s="10" t="n"/>
      <c r="M93" s="11" t="n"/>
    </row>
    <row r="94">
      <c r="I94" s="10" t="n"/>
      <c r="K94" s="10" t="n"/>
      <c r="L94" s="10" t="n"/>
      <c r="M94" s="11" t="n"/>
    </row>
    <row r="95">
      <c r="I95" s="10" t="n"/>
      <c r="K95" s="10" t="n"/>
      <c r="L95" s="10" t="n"/>
      <c r="M95" s="11" t="n"/>
    </row>
    <row r="96">
      <c r="I96" s="10" t="n"/>
      <c r="K96" s="10" t="n"/>
      <c r="L96" s="10" t="n"/>
      <c r="M96" s="11" t="n"/>
    </row>
    <row r="97">
      <c r="I97" s="10" t="n"/>
      <c r="K97" s="10" t="n"/>
      <c r="L97" s="10" t="n"/>
      <c r="M97" s="11" t="n"/>
    </row>
    <row r="98">
      <c r="I98" s="10" t="n"/>
      <c r="K98" s="10" t="n"/>
      <c r="L98" s="10" t="n"/>
      <c r="M98" s="11" t="n"/>
    </row>
    <row r="99">
      <c r="I99" s="10" t="n"/>
      <c r="K99" s="10" t="n"/>
      <c r="L99" s="10" t="n"/>
      <c r="M99" s="11" t="n"/>
    </row>
    <row r="100">
      <c r="I100" s="10" t="n"/>
      <c r="K100" s="10" t="n"/>
      <c r="L100" s="10" t="n"/>
      <c r="M100" s="11" t="n"/>
    </row>
  </sheetData>
  <dataValidations count="3">
    <dataValidation sqref="L2:L100" showDropDown="0" showInputMessage="0" showErrorMessage="0" allowBlank="1" type="list">
      <formula1>"Por Hacer,En Progreso,En Revisión / QA,Completado,Bloqueado"</formula1>
    </dataValidation>
    <dataValidation sqref="K2:K100" showDropDown="0" showInputMessage="0" showErrorMessage="0" allowBlank="1" type="list">
      <formula1>"Sprint 1,Sprint 2,Sprint 3,Sprint 4"</formula1>
    </dataValidation>
    <dataValidation sqref="I2:I100" showDropDown="0" showInputMessage="0" showErrorMessage="0" allowBlank="1" type="list">
      <formula1>"Alta,Media,Baja"</formula1>
    </dataValidation>
  </dataValidations>
  <hyperlinks>
    <hyperlink xmlns:r="http://schemas.openxmlformats.org/officeDocument/2006/relationships" ref="A2" r:id="rId1"/>
    <hyperlink xmlns:r="http://schemas.openxmlformats.org/officeDocument/2006/relationships" ref="K2" r:id="rId2"/>
    <hyperlink xmlns:r="http://schemas.openxmlformats.org/officeDocument/2006/relationships" ref="N2" r:id="rId3"/>
    <hyperlink xmlns:r="http://schemas.openxmlformats.org/officeDocument/2006/relationships" ref="R2" r:id="rId4"/>
    <hyperlink xmlns:r="http://schemas.openxmlformats.org/officeDocument/2006/relationships" ref="K3" r:id="rId5"/>
    <hyperlink xmlns:r="http://schemas.openxmlformats.org/officeDocument/2006/relationships" ref="N3" r:id="rId6"/>
    <hyperlink xmlns:r="http://schemas.openxmlformats.org/officeDocument/2006/relationships" ref="R3" r:id="rId7"/>
    <hyperlink xmlns:r="http://schemas.openxmlformats.org/officeDocument/2006/relationships" ref="K4" r:id="rId8"/>
    <hyperlink xmlns:r="http://schemas.openxmlformats.org/officeDocument/2006/relationships" ref="N4" r:id="rId9"/>
    <hyperlink xmlns:r="http://schemas.openxmlformats.org/officeDocument/2006/relationships" ref="R4" r:id="rId10"/>
    <hyperlink xmlns:r="http://schemas.openxmlformats.org/officeDocument/2006/relationships" ref="K5" r:id="rId11"/>
    <hyperlink xmlns:r="http://schemas.openxmlformats.org/officeDocument/2006/relationships" ref="N5" r:id="rId12"/>
    <hyperlink xmlns:r="http://schemas.openxmlformats.org/officeDocument/2006/relationships" ref="R5" r:id="rId13"/>
    <hyperlink xmlns:r="http://schemas.openxmlformats.org/officeDocument/2006/relationships" ref="A6" r:id="rId14"/>
    <hyperlink xmlns:r="http://schemas.openxmlformats.org/officeDocument/2006/relationships" ref="K6" r:id="rId15"/>
    <hyperlink xmlns:r="http://schemas.openxmlformats.org/officeDocument/2006/relationships" ref="N6" r:id="rId16"/>
    <hyperlink xmlns:r="http://schemas.openxmlformats.org/officeDocument/2006/relationships" ref="R6" r:id="rId17"/>
    <hyperlink xmlns:r="http://schemas.openxmlformats.org/officeDocument/2006/relationships" ref="A7" r:id="rId18"/>
    <hyperlink xmlns:r="http://schemas.openxmlformats.org/officeDocument/2006/relationships" ref="K7" r:id="rId19"/>
    <hyperlink xmlns:r="http://schemas.openxmlformats.org/officeDocument/2006/relationships" ref="N7" r:id="rId20"/>
    <hyperlink xmlns:r="http://schemas.openxmlformats.org/officeDocument/2006/relationships" ref="R7" r:id="rId21"/>
    <hyperlink xmlns:r="http://schemas.openxmlformats.org/officeDocument/2006/relationships" ref="A8" r:id="rId22"/>
    <hyperlink xmlns:r="http://schemas.openxmlformats.org/officeDocument/2006/relationships" ref="K8" r:id="rId23"/>
    <hyperlink xmlns:r="http://schemas.openxmlformats.org/officeDocument/2006/relationships" ref="N8" r:id="rId24"/>
    <hyperlink xmlns:r="http://schemas.openxmlformats.org/officeDocument/2006/relationships" ref="R8" r:id="rId25"/>
    <hyperlink xmlns:r="http://schemas.openxmlformats.org/officeDocument/2006/relationships" ref="A9" r:id="rId26"/>
    <hyperlink xmlns:r="http://schemas.openxmlformats.org/officeDocument/2006/relationships" ref="K9" r:id="rId27"/>
    <hyperlink xmlns:r="http://schemas.openxmlformats.org/officeDocument/2006/relationships" ref="N9" r:id="rId28"/>
    <hyperlink xmlns:r="http://schemas.openxmlformats.org/officeDocument/2006/relationships" ref="R9" r:id="rId29"/>
    <hyperlink xmlns:r="http://schemas.openxmlformats.org/officeDocument/2006/relationships" ref="K10" r:id="rId30"/>
    <hyperlink xmlns:r="http://schemas.openxmlformats.org/officeDocument/2006/relationships" ref="N10" r:id="rId31"/>
    <hyperlink xmlns:r="http://schemas.openxmlformats.org/officeDocument/2006/relationships" ref="R10" r:id="rId32"/>
    <hyperlink xmlns:r="http://schemas.openxmlformats.org/officeDocument/2006/relationships" ref="K11" r:id="rId33"/>
    <hyperlink xmlns:r="http://schemas.openxmlformats.org/officeDocument/2006/relationships" ref="N11" r:id="rId34"/>
    <hyperlink xmlns:r="http://schemas.openxmlformats.org/officeDocument/2006/relationships" ref="R11" r:id="rId35"/>
    <hyperlink xmlns:r="http://schemas.openxmlformats.org/officeDocument/2006/relationships" ref="K12" r:id="rId36"/>
    <hyperlink xmlns:r="http://schemas.openxmlformats.org/officeDocument/2006/relationships" ref="N12" r:id="rId37"/>
    <hyperlink xmlns:r="http://schemas.openxmlformats.org/officeDocument/2006/relationships" ref="R12" r:id="rId38"/>
    <hyperlink xmlns:r="http://schemas.openxmlformats.org/officeDocument/2006/relationships" ref="K13" r:id="rId39"/>
    <hyperlink xmlns:r="http://schemas.openxmlformats.org/officeDocument/2006/relationships" ref="N13" r:id="rId40"/>
    <hyperlink xmlns:r="http://schemas.openxmlformats.org/officeDocument/2006/relationships" ref="R13" r:id="rId41"/>
    <hyperlink xmlns:r="http://schemas.openxmlformats.org/officeDocument/2006/relationships" ref="K14" r:id="rId42"/>
    <hyperlink xmlns:r="http://schemas.openxmlformats.org/officeDocument/2006/relationships" ref="N14" r:id="rId43"/>
    <hyperlink xmlns:r="http://schemas.openxmlformats.org/officeDocument/2006/relationships" ref="R14" r:id="rId44"/>
    <hyperlink xmlns:r="http://schemas.openxmlformats.org/officeDocument/2006/relationships" ref="K15" r:id="rId45"/>
    <hyperlink xmlns:r="http://schemas.openxmlformats.org/officeDocument/2006/relationships" ref="N15" r:id="rId46"/>
    <hyperlink xmlns:r="http://schemas.openxmlformats.org/officeDocument/2006/relationships" ref="R15" r:id="rId47"/>
    <hyperlink xmlns:r="http://schemas.openxmlformats.org/officeDocument/2006/relationships" ref="K16" r:id="rId48"/>
    <hyperlink xmlns:r="http://schemas.openxmlformats.org/officeDocument/2006/relationships" ref="N16" r:id="rId49"/>
    <hyperlink xmlns:r="http://schemas.openxmlformats.org/officeDocument/2006/relationships" ref="R16" r:id="rId50"/>
    <hyperlink xmlns:r="http://schemas.openxmlformats.org/officeDocument/2006/relationships" ref="K17" r:id="rId51"/>
    <hyperlink xmlns:r="http://schemas.openxmlformats.org/officeDocument/2006/relationships" ref="N17" r:id="rId52"/>
    <hyperlink xmlns:r="http://schemas.openxmlformats.org/officeDocument/2006/relationships" ref="R17" r:id="rId53"/>
    <hyperlink xmlns:r="http://schemas.openxmlformats.org/officeDocument/2006/relationships" ref="K18" r:id="rId54"/>
    <hyperlink xmlns:r="http://schemas.openxmlformats.org/officeDocument/2006/relationships" ref="N18" r:id="rId55"/>
    <hyperlink xmlns:r="http://schemas.openxmlformats.org/officeDocument/2006/relationships" ref="R18" r:id="rId56"/>
    <hyperlink xmlns:r="http://schemas.openxmlformats.org/officeDocument/2006/relationships" ref="K19" r:id="rId57"/>
    <hyperlink xmlns:r="http://schemas.openxmlformats.org/officeDocument/2006/relationships" ref="N19" r:id="rId58"/>
    <hyperlink xmlns:r="http://schemas.openxmlformats.org/officeDocument/2006/relationships" ref="R19" r:id="rId59"/>
    <hyperlink xmlns:r="http://schemas.openxmlformats.org/officeDocument/2006/relationships" ref="K20" r:id="rId60"/>
    <hyperlink xmlns:r="http://schemas.openxmlformats.org/officeDocument/2006/relationships" ref="N20" r:id="rId61"/>
    <hyperlink xmlns:r="http://schemas.openxmlformats.org/officeDocument/2006/relationships" ref="R20" r:id="rId62"/>
    <hyperlink xmlns:r="http://schemas.openxmlformats.org/officeDocument/2006/relationships" ref="K21" r:id="rId63"/>
    <hyperlink xmlns:r="http://schemas.openxmlformats.org/officeDocument/2006/relationships" ref="N21" r:id="rId64"/>
    <hyperlink xmlns:r="http://schemas.openxmlformats.org/officeDocument/2006/relationships" ref="R21" r:id="rId65"/>
    <hyperlink xmlns:r="http://schemas.openxmlformats.org/officeDocument/2006/relationships" ref="K22" r:id="rId66"/>
    <hyperlink xmlns:r="http://schemas.openxmlformats.org/officeDocument/2006/relationships" ref="N22" r:id="rId67"/>
    <hyperlink xmlns:r="http://schemas.openxmlformats.org/officeDocument/2006/relationships" ref="R22" r:id="rId68"/>
    <hyperlink xmlns:r="http://schemas.openxmlformats.org/officeDocument/2006/relationships" ref="K23" r:id="rId69"/>
    <hyperlink xmlns:r="http://schemas.openxmlformats.org/officeDocument/2006/relationships" ref="N23" r:id="rId70"/>
    <hyperlink xmlns:r="http://schemas.openxmlformats.org/officeDocument/2006/relationships" ref="R23" r:id="rId71"/>
    <hyperlink xmlns:r="http://schemas.openxmlformats.org/officeDocument/2006/relationships" ref="A24" r:id="rId72"/>
    <hyperlink xmlns:r="http://schemas.openxmlformats.org/officeDocument/2006/relationships" ref="K24" r:id="rId73"/>
    <hyperlink xmlns:r="http://schemas.openxmlformats.org/officeDocument/2006/relationships" ref="N24" r:id="rId74"/>
    <hyperlink xmlns:r="http://schemas.openxmlformats.org/officeDocument/2006/relationships" ref="R24" r:id="rId75"/>
    <hyperlink xmlns:r="http://schemas.openxmlformats.org/officeDocument/2006/relationships" ref="A25" r:id="rId76"/>
    <hyperlink xmlns:r="http://schemas.openxmlformats.org/officeDocument/2006/relationships" ref="K25" r:id="rId77"/>
    <hyperlink xmlns:r="http://schemas.openxmlformats.org/officeDocument/2006/relationships" ref="N25" r:id="rId78"/>
    <hyperlink xmlns:r="http://schemas.openxmlformats.org/officeDocument/2006/relationships" ref="R25" r:id="rId79"/>
    <hyperlink xmlns:r="http://schemas.openxmlformats.org/officeDocument/2006/relationships" ref="K26" r:id="rId80"/>
    <hyperlink xmlns:r="http://schemas.openxmlformats.org/officeDocument/2006/relationships" ref="N26" r:id="rId81"/>
    <hyperlink xmlns:r="http://schemas.openxmlformats.org/officeDocument/2006/relationships" ref="R26" r:id="rId82"/>
  </hyperlinks>
  <pageMargins left="0.75" right="0.75" top="1" bottom="1" header="0.5" footer="0.5"/>
  <tableParts count="1">
    <tablePart xmlns:r="http://schemas.openxmlformats.org/officeDocument/2006/relationships" r:id="rId83"/>
  </tableParts>
</worksheet>
</file>

<file path=xl/worksheets/sheet3.xml><?xml version="1.0" encoding="utf-8"?>
<worksheet xmlns="http://schemas.openxmlformats.org/spreadsheetml/2006/main">
  <sheetPr>
    <outlinePr summaryBelow="0" summaryRight="0"/>
    <pageSetUpPr/>
  </sheetPr>
  <dimension ref="A1:H5"/>
  <sheetViews>
    <sheetView workbookViewId="0">
      <selection activeCell="A1" sqref="A1"/>
    </sheetView>
  </sheetViews>
  <sheetFormatPr baseColWidth="8" defaultColWidth="12.63" defaultRowHeight="15.75" customHeight="1"/>
  <cols>
    <col width="13" customWidth="1" style="12" min="1" max="1"/>
    <col width="52" customWidth="1" style="12" min="2" max="2"/>
    <col width="29" customWidth="1" style="12" min="3" max="7"/>
    <col width="21" customWidth="1" style="12" min="4" max="4"/>
    <col width="27" customWidth="1" style="12" min="5" max="5"/>
    <col width="21" customWidth="1" style="12" min="6" max="6"/>
    <col width="19" customWidth="1" style="12" min="7" max="7"/>
    <col width="44" customWidth="1" style="12" min="8" max="8"/>
  </cols>
  <sheetData>
    <row r="1">
      <c r="A1" s="5" t="inlineStr">
        <is>
          <t>Sprint</t>
        </is>
      </c>
      <c r="B1" s="5" t="inlineStr">
        <is>
          <t>Objetivo del Sprint</t>
        </is>
      </c>
      <c r="C1" s="5" t="inlineStr">
        <is>
          <t>Cantidad de Requerimientos</t>
        </is>
      </c>
      <c r="D1" s="5" t="inlineStr">
        <is>
          <t>Total Story Points</t>
        </is>
      </c>
      <c r="E1" s="5" t="inlineStr">
        <is>
          <t>Story Points Completados</t>
        </is>
      </c>
      <c r="F1" s="5" t="inlineStr">
        <is>
          <t>Capacidad Restante</t>
        </is>
      </c>
      <c r="G1" s="5" t="inlineStr">
        <is>
          <t>% de Completitud</t>
        </is>
      </c>
      <c r="H1" s="17" t="inlineStr">
        <is>
          <t>Navegacion Interna a Backlog / Evidencias</t>
        </is>
      </c>
    </row>
    <row r="2">
      <c r="A2" s="28" t="inlineStr">
        <is>
          <t>Sprint 1</t>
        </is>
      </c>
      <c r="B2" s="7" t="inlineStr">
        <is>
          <t>Arquitectura Base, DB Híbrida y Catálogo</t>
        </is>
      </c>
      <c r="C2" s="7">
        <f>COUNTIFS('Product Backlog'!K:K, A2)</f>
        <v/>
      </c>
      <c r="D2" s="7">
        <f>SUMIFS('Product Backlog'!J:J, 'Product Backlog'!K:K, A2)</f>
        <v/>
      </c>
      <c r="E2" s="7">
        <f>SUMIFS('Product Backlog'!J:J, 'Product Backlog'!K:K, A2, 'Product Backlog'!L:L, "Completado")</f>
        <v/>
      </c>
      <c r="F2" s="7">
        <f>D2 - E2</f>
        <v/>
      </c>
      <c r="G2" s="8">
        <f>IFERROR(E2 / D2, 0)</f>
        <v/>
      </c>
      <c r="H2" s="14" t="inlineStr">
        <is>
          <t>Ver Certificacion y Evidencias</t>
        </is>
      </c>
    </row>
    <row r="3">
      <c r="A3" s="28" t="inlineStr">
        <is>
          <t>Sprint 2</t>
        </is>
      </c>
      <c r="B3" s="7" t="inlineStr">
        <is>
          <t>Backoffice, SKUs e Inventario</t>
        </is>
      </c>
      <c r="C3" s="7">
        <f>COUNTIFS('Product Backlog'!K:K, A3)</f>
        <v/>
      </c>
      <c r="D3" s="7">
        <f>SUMIFS('Product Backlog'!J:J, 'Product Backlog'!K:K, A3)</f>
        <v/>
      </c>
      <c r="E3" s="7">
        <f>SUMIFS('Product Backlog'!J:J, 'Product Backlog'!K:K, A3, 'Product Backlog'!L:L, "Completado")</f>
        <v/>
      </c>
      <c r="F3" s="7">
        <f>D3 - E3</f>
        <v/>
      </c>
      <c r="G3" s="8">
        <f>IFERROR(E3 / D3, 0)</f>
        <v/>
      </c>
      <c r="H3" s="14" t="inlineStr">
        <is>
          <t>Filtrar Sprint 2 en Backlog</t>
        </is>
      </c>
    </row>
    <row r="4">
      <c r="A4" s="28" t="inlineStr">
        <is>
          <t>Sprint 3</t>
        </is>
      </c>
      <c r="B4" s="7" t="inlineStr">
        <is>
          <t>Checkout, Pasarelas de Pago y Logística/Tracking</t>
        </is>
      </c>
      <c r="C4" s="7">
        <f>COUNTIFS('Product Backlog'!K:K, A4)</f>
        <v/>
      </c>
      <c r="D4" s="7">
        <f>SUMIFS('Product Backlog'!J:J, 'Product Backlog'!K:K, A4)</f>
        <v/>
      </c>
      <c r="E4" s="7">
        <f>SUMIFS('Product Backlog'!J:J, 'Product Backlog'!K:K, A4, 'Product Backlog'!L:L, "Completado")</f>
        <v/>
      </c>
      <c r="F4" s="7">
        <f>D4 - E4</f>
        <v/>
      </c>
      <c r="G4" s="8">
        <f>IFERROR(E4 / D4, 0)</f>
        <v/>
      </c>
      <c r="H4" s="14" t="inlineStr">
        <is>
          <t>Filtrar Sprint 3 en Backlog</t>
        </is>
      </c>
    </row>
    <row r="5">
      <c r="A5" s="28" t="inlineStr">
        <is>
          <t>Sprint 4</t>
        </is>
      </c>
      <c r="B5" s="7" t="inlineStr">
        <is>
          <t>Marketing, SEO, Privacidad y Manual de Despliegue</t>
        </is>
      </c>
      <c r="C5" s="7">
        <f>COUNTIFS('Product Backlog'!K:K, A5)</f>
        <v/>
      </c>
      <c r="D5" s="7">
        <f>SUMIFS('Product Backlog'!J:J, 'Product Backlog'!K:K, A5)</f>
        <v/>
      </c>
      <c r="E5" s="7">
        <f>SUMIFS('Product Backlog'!J:J, 'Product Backlog'!K:K, A5, 'Product Backlog'!L:L, "Completado")</f>
        <v/>
      </c>
      <c r="F5" s="7">
        <f>D5 - E5</f>
        <v/>
      </c>
      <c r="G5" s="8">
        <f>IFERROR(E5 / D5, 0)</f>
        <v/>
      </c>
      <c r="H5" s="14" t="inlineStr">
        <is>
          <t>Filtrar Sprint 4 en Backlog</t>
        </is>
      </c>
    </row>
  </sheetData>
  <hyperlinks>
    <hyperlink xmlns:r="http://schemas.openxmlformats.org/officeDocument/2006/relationships" ref="A2" r:id="rId1"/>
    <hyperlink xmlns:r="http://schemas.openxmlformats.org/officeDocument/2006/relationships" ref="H2" r:id="rId2"/>
    <hyperlink xmlns:r="http://schemas.openxmlformats.org/officeDocument/2006/relationships" ref="A3" r:id="rId3"/>
    <hyperlink xmlns:r="http://schemas.openxmlformats.org/officeDocument/2006/relationships" ref="H3" r:id="rId4"/>
    <hyperlink xmlns:r="http://schemas.openxmlformats.org/officeDocument/2006/relationships" ref="A4" r:id="rId5"/>
    <hyperlink xmlns:r="http://schemas.openxmlformats.org/officeDocument/2006/relationships" ref="H4" r:id="rId6"/>
    <hyperlink xmlns:r="http://schemas.openxmlformats.org/officeDocument/2006/relationships" ref="A5" r:id="rId7"/>
    <hyperlink xmlns:r="http://schemas.openxmlformats.org/officeDocument/2006/relationships" ref="H5" r:id="rId8"/>
  </hyperlinks>
  <pageMargins left="0.75" right="0.75" top="1" bottom="1" header="0.5" footer="0.5"/>
  <tableParts count="1">
    <tablePart xmlns:r="http://schemas.openxmlformats.org/officeDocument/2006/relationships" r:id="rId9"/>
  </tableParts>
</worksheet>
</file>

<file path=xl/worksheets/sheet4.xml><?xml version="1.0" encoding="utf-8"?>
<worksheet xmlns="http://schemas.openxmlformats.org/spreadsheetml/2006/main">
  <sheetPr>
    <outlinePr summaryBelow="0" summaryRight="0"/>
    <pageSetUpPr/>
  </sheetPr>
  <dimension ref="A1:D32"/>
  <sheetViews>
    <sheetView workbookViewId="0">
      <selection activeCell="A1" sqref="A1"/>
    </sheetView>
  </sheetViews>
  <sheetFormatPr baseColWidth="8" defaultColWidth="12.63" defaultRowHeight="15.75" customHeight="1"/>
  <cols>
    <col width="58" customWidth="1" style="12" min="1" max="1"/>
    <col width="58" customWidth="1" style="12" min="2" max="2"/>
    <col width="58" customWidth="1" style="12" min="3" max="3"/>
    <col width="24" customWidth="1" style="12" min="4" max="4"/>
  </cols>
  <sheetData>
    <row r="1">
      <c r="A1" s="1" t="inlineStr">
        <is>
          <t>Rol</t>
        </is>
      </c>
      <c r="B1" s="1" t="inlineStr">
        <is>
          <t>Permisos/Descripción</t>
        </is>
      </c>
      <c r="C1" s="3" t="n"/>
      <c r="D1" s="21" t="inlineStr">
        <is>
          <t>&lt;&lt; Volver a Dashboard</t>
        </is>
      </c>
    </row>
    <row r="2">
      <c r="A2" s="3" t="inlineStr">
        <is>
          <t>Cliente Comprador</t>
        </is>
      </c>
      <c r="B2" s="3" t="inlineStr">
        <is>
          <t>Puede navegar catálogo, agregar al carrito, registrarse o comprar como invitado, hacer seguimiento de pedidos.</t>
        </is>
      </c>
      <c r="C2" s="3" t="n"/>
      <c r="D2" s="21" t="inlineStr">
        <is>
          <t>Ir a Product Backlog</t>
        </is>
      </c>
    </row>
    <row r="3">
      <c r="A3" s="3" t="inlineStr">
        <is>
          <t>Emprendedor Admin</t>
        </is>
      </c>
      <c r="B3" s="3" t="inlineStr">
        <is>
          <t>Puede configurar tienda, plantillas, pasarelas de pago, logística, gestionar inventario y pedidos.</t>
        </is>
      </c>
      <c r="C3" s="3" t="n"/>
    </row>
    <row r="4">
      <c r="A4" s="3" t="n"/>
      <c r="B4" s="3" t="n"/>
      <c r="C4" s="3" t="n"/>
    </row>
    <row r="5">
      <c r="A5" s="1" t="inlineStr">
        <is>
          <t>Tipo</t>
        </is>
      </c>
      <c r="B5" s="1" t="inlineStr">
        <is>
          <t>Descripción</t>
        </is>
      </c>
      <c r="C5" s="3" t="n"/>
    </row>
    <row r="6">
      <c r="A6" s="3" t="inlineStr">
        <is>
          <t>Restricción</t>
        </is>
      </c>
      <c r="B6" s="3" t="inlineStr">
        <is>
          <t>Despliegue Autónomo</t>
        </is>
      </c>
      <c r="C6" s="3" t="n"/>
    </row>
    <row r="7">
      <c r="A7" s="3" t="inlineStr">
        <is>
          <t>Supuesto</t>
        </is>
      </c>
      <c r="B7" s="3" t="inlineStr">
        <is>
          <t>Entornos de prueba de APIs Externas disponibles</t>
        </is>
      </c>
      <c r="C7" s="3" t="n"/>
    </row>
    <row r="8">
      <c r="A8" s="3" t="inlineStr">
        <is>
          <t>Supuesto</t>
        </is>
      </c>
      <c r="B8" s="3" t="inlineStr">
        <is>
          <t>Cuentas de Servicios / API Keys a cargo del emprendedor</t>
        </is>
      </c>
      <c r="C8" s="3" t="n"/>
    </row>
    <row r="9">
      <c r="A9" s="3" t="n"/>
      <c r="B9" s="3" t="n"/>
      <c r="C9" s="3" t="n"/>
    </row>
    <row r="10">
      <c r="A10" s="1" t="inlineStr">
        <is>
          <t>Ítem</t>
        </is>
      </c>
      <c r="B10" s="1" t="inlineStr">
        <is>
          <t>Descripción</t>
        </is>
      </c>
      <c r="C10" s="3" t="n"/>
    </row>
    <row r="11">
      <c r="A11" s="3" t="n">
        <v>1</v>
      </c>
      <c r="B11" s="3" t="inlineStr">
        <is>
          <t>Alojamiento y Despliegue/Hosting</t>
        </is>
      </c>
      <c r="C11" s="3" t="n"/>
    </row>
    <row r="12">
      <c r="A12" s="3" t="n">
        <v>2</v>
      </c>
      <c r="B12" s="3" t="inlineStr">
        <is>
          <t>Adquisición de Licencias/Contratos comerciales</t>
        </is>
      </c>
      <c r="C12" s="3" t="n"/>
    </row>
    <row r="13">
      <c r="A13" s="3" t="n">
        <v>3</v>
      </c>
      <c r="B13" s="3" t="inlineStr">
        <is>
          <t>Facturación Electrónica Automática SII</t>
        </is>
      </c>
      <c r="C13" s="3" t="n"/>
    </row>
    <row r="14">
      <c r="A14" s="3" t="n"/>
      <c r="B14" s="3" t="n"/>
      <c r="C14" s="3" t="n"/>
    </row>
    <row r="15">
      <c r="A15" s="1" t="inlineStr">
        <is>
          <t>Decisión</t>
        </is>
      </c>
      <c r="B15" s="1" t="inlineStr">
        <is>
          <t>Estado de Decisión</t>
        </is>
      </c>
      <c r="C15" s="1" t="inlineStr">
        <is>
          <t>Resolución</t>
        </is>
      </c>
    </row>
    <row r="16">
      <c r="A16" s="3" t="inlineStr">
        <is>
          <t>Entrevistas de validación de levantamiento con emprendedores</t>
        </is>
      </c>
      <c r="B16" s="3" t="inlineStr">
        <is>
          <t>En Proceso</t>
        </is>
      </c>
      <c r="C16" s="3" t="inlineStr">
        <is>
          <t>Protocolo de validacion coordinado por Scrum Master Danya Duran y Product Owner Bastian Proboste con usuarios piloto.</t>
        </is>
      </c>
    </row>
    <row r="17">
      <c r="A17" s="3" t="inlineStr">
        <is>
          <t>Definición de las 4 paletas de colores para el MVP</t>
        </is>
      </c>
      <c r="B17" s="3" t="inlineStr">
        <is>
          <t>Aprobado</t>
        </is>
      </c>
      <c r="C17" s="3" t="inlineStr">
        <is>
          <t>Implementadas en Frontend por Nathaly Torres: Ocean Blue, Emerald Forest, Sunset Amber y Modern Dark, con soporte Light/Dark.</t>
        </is>
      </c>
    </row>
    <row r="18">
      <c r="A18" s="3" t="n"/>
      <c r="B18" s="3" t="n"/>
      <c r="C18" s="3" t="n"/>
    </row>
    <row r="19">
      <c r="A19" s="1" t="inlineStr">
        <is>
          <t>Versión</t>
        </is>
      </c>
      <c r="B19" s="1" t="inlineStr">
        <is>
          <t>Detalles</t>
        </is>
      </c>
      <c r="C19" s="3" t="n"/>
    </row>
    <row r="20">
      <c r="A20" s="3" t="inlineStr">
        <is>
          <t>v4.0-4.5</t>
        </is>
      </c>
      <c r="B20" s="3" t="inlineStr">
        <is>
          <t>Historial previo</t>
        </is>
      </c>
      <c r="C20" s="3" t="n"/>
    </row>
    <row r="21">
      <c r="A21" s="3" t="inlineStr">
        <is>
          <t>v5.0</t>
        </is>
      </c>
      <c r="B21" s="3" t="inlineStr">
        <is>
          <t>-</t>
        </is>
      </c>
      <c r="C21" s="3" t="n"/>
    </row>
    <row r="22">
      <c r="A22" s="3" t="inlineStr">
        <is>
          <t>v5.1</t>
        </is>
      </c>
      <c r="B22" s="3" t="inlineStr">
        <is>
          <t>-</t>
        </is>
      </c>
      <c r="C22" s="3" t="n"/>
    </row>
    <row r="23">
      <c r="A23" s="3" t="inlineStr">
        <is>
          <t>v5.2</t>
        </is>
      </c>
      <c r="B23" s="3" t="inlineStr">
        <is>
          <t>Inclusión de Módulo de Marketing y SEO (Candidato a aprobación, 25 de septiembre de 2026)</t>
        </is>
      </c>
      <c r="C23" s="3" t="n"/>
    </row>
    <row r="24"/>
    <row r="25">
      <c r="A25" s="13" t="inlineStr">
        <is>
          <t>ESTRUCTURA DE EQUIPO Y GOBERNANZA SCRUM</t>
        </is>
      </c>
    </row>
    <row r="26">
      <c r="A26" s="19" t="inlineStr">
        <is>
          <t>Rol / Funcion Oficial</t>
        </is>
      </c>
      <c r="B26" s="19" t="inlineStr">
        <is>
          <t>Titular Asignado</t>
        </is>
      </c>
      <c r="C26" s="19" t="inlineStr">
        <is>
          <t>Especializacion y Responsabilidades</t>
        </is>
      </c>
      <c r="D26" t="inlineStr">
        <is>
          <t>Tareas en Backlog</t>
        </is>
      </c>
    </row>
    <row r="27">
      <c r="A27" s="15" t="inlineStr">
        <is>
          <t>Product Owner (PO)</t>
        </is>
      </c>
      <c r="B27" s="18" t="inlineStr">
        <is>
          <t>Bastian Proboste</t>
        </is>
      </c>
      <c r="C27" s="18" t="inlineStr">
        <is>
          <t>Definicion de vision del producto, priorizacion de backlog y aprobacion de historias de usuario</t>
        </is>
      </c>
      <c r="D27" s="14" t="inlineStr">
        <is>
          <t>Ver Requerimientos</t>
        </is>
      </c>
    </row>
    <row r="28">
      <c r="A28" s="15" t="inlineStr">
        <is>
          <t>Scrum Master (SM)</t>
        </is>
      </c>
      <c r="B28" s="18" t="inlineStr">
        <is>
          <t>Danya Duran</t>
        </is>
      </c>
      <c r="C28" s="18" t="inlineStr">
        <is>
          <t>Facilitacion de ceremonias agiles, remocion de impedimentos y gestion de cadencia del equipo</t>
        </is>
      </c>
      <c r="D28" s="14" t="inlineStr">
        <is>
          <t>Ver Requerimientos</t>
        </is>
      </c>
    </row>
    <row r="29">
      <c r="A29" s="15" t="inlineStr">
        <is>
          <t>Desarrolladora Frontend &amp; UI/UX</t>
        </is>
      </c>
      <c r="B29" s="18" t="inlineStr">
        <is>
          <t>Nathaly Torres</t>
        </is>
      </c>
      <c r="C29" s="18" t="inlineStr">
        <is>
          <t>Desarrollo en React, Material 3 Design System, componentes visuales, branding, personalizacion y accesibilidad WCAG</t>
        </is>
      </c>
      <c r="D29" s="14" t="inlineStr">
        <is>
          <t>Ver Requerimientos</t>
        </is>
      </c>
    </row>
    <row r="30">
      <c r="A30" s="15" t="inlineStr">
        <is>
          <t>Desarrollador Backend &amp; Arquitectura</t>
        </is>
      </c>
      <c r="B30" s="18" t="inlineStr">
        <is>
          <t>Emanuel Gangas</t>
        </is>
      </c>
      <c r="C30" s="18" t="inlineStr">
        <is>
          <t>Arquitectura Hexagonal en Django, persistencia hibrida en PostgreSQL y MongoDB, contratos API y reglas de negocio</t>
        </is>
      </c>
      <c r="D30" s="14" t="inlineStr">
        <is>
          <t>Ver Requerimientos</t>
        </is>
      </c>
    </row>
    <row r="31">
      <c r="A31" s="15" t="inlineStr">
        <is>
          <t>Desarrollador Fullstack, Seguridad &amp; QA</t>
        </is>
      </c>
      <c r="B31" s="18" t="inlineStr">
        <is>
          <t>Vicente Mena</t>
        </is>
      </c>
      <c r="C31" s="18" t="inlineStr">
        <is>
          <t>Integraciones externas de pago y couriers, seguridad HTTPS/Argon2, suites de pruebas automatizadas y despliegue Docker</t>
        </is>
      </c>
      <c r="D31" s="14" t="inlineStr">
        <is>
          <t>Ver Requerimientos</t>
        </is>
      </c>
    </row>
    <row r="32">
      <c r="A32" s="15" t="inlineStr">
        <is>
          <t>Revisores Academicos</t>
        </is>
      </c>
      <c r="B32" s="18" t="inlineStr">
        <is>
          <t>Prof. Rene Galarce y Prof. Ximena del Carmen Prado</t>
        </is>
      </c>
      <c r="C32" s="18" t="inlineStr">
        <is>
          <t>Supervision metodologica y validacion de estandares academicos de ingenieria</t>
        </is>
      </c>
      <c r="D32" s="14" t="inlineStr">
        <is>
          <t>Ver Requerimientos</t>
        </is>
      </c>
    </row>
  </sheetData>
  <hyperlinks>
    <hyperlink xmlns:r="http://schemas.openxmlformats.org/officeDocument/2006/relationships" ref="D1" r:id="rId1"/>
    <hyperlink xmlns:r="http://schemas.openxmlformats.org/officeDocument/2006/relationships" ref="D2" r:id="rId2"/>
    <hyperlink xmlns:r="http://schemas.openxmlformats.org/officeDocument/2006/relationships" ref="D27" r:id="rId3"/>
    <hyperlink xmlns:r="http://schemas.openxmlformats.org/officeDocument/2006/relationships" ref="D28" r:id="rId4"/>
    <hyperlink xmlns:r="http://schemas.openxmlformats.org/officeDocument/2006/relationships" ref="D29" r:id="rId5"/>
    <hyperlink xmlns:r="http://schemas.openxmlformats.org/officeDocument/2006/relationships" ref="D30" r:id="rId6"/>
    <hyperlink xmlns:r="http://schemas.openxmlformats.org/officeDocument/2006/relationships" ref="D31" r:id="rId7"/>
    <hyperlink xmlns:r="http://schemas.openxmlformats.org/officeDocument/2006/relationships" ref="D32" r:id="rId8"/>
  </hyperlinks>
  <pageMargins left="0.75" right="0.75" top="1" bottom="1" header="0.5" footer="0.5"/>
  <tableParts count="1">
    <tablePart xmlns:r="http://schemas.openxmlformats.org/officeDocument/2006/relationships" r:id="rId9"/>
  </tableParts>
</worksheet>
</file>

<file path=xl/worksheets/sheet5.xml><?xml version="1.0" encoding="utf-8"?>
<worksheet xmlns="http://schemas.openxmlformats.org/spreadsheetml/2006/main">
  <sheetPr>
    <outlinePr summaryBelow="1" summaryRight="1"/>
    <pageSetUpPr/>
  </sheetPr>
  <dimension ref="A1:K34"/>
  <sheetViews>
    <sheetView showGridLines="1" workbookViewId="0">
      <selection activeCell="A1" sqref="A1"/>
    </sheetView>
  </sheetViews>
  <sheetFormatPr baseColWidth="8" defaultRowHeight="15"/>
  <cols>
    <col width="58" customWidth="1" style="12" min="1" max="1"/>
    <col width="58" customWidth="1" style="12" min="2" max="2"/>
    <col width="58" customWidth="1" style="12" min="3" max="3"/>
    <col width="34" customWidth="1" style="12" min="4" max="4"/>
    <col width="13" customWidth="1" style="12" min="5" max="5"/>
    <col width="22" customWidth="1" style="12" min="6" max="6"/>
    <col width="58" customWidth="1" style="12" min="7" max="7"/>
    <col width="58" customWidth="1" style="12" min="8" max="8"/>
    <col width="58" customWidth="1" style="12" min="9" max="9"/>
    <col width="13" customWidth="1" style="12" min="10" max="10"/>
    <col width="19" customWidth="1" style="12" min="11" max="11"/>
  </cols>
  <sheetData>
    <row r="1">
      <c r="A1" s="20" t="inlineStr">
        <is>
          <t>ACTA FORMAL DE CERTIFICACION Y EVIDENCIAS DE SPRINT 1</t>
        </is>
      </c>
    </row>
    <row r="2">
      <c r="A2" s="13" t="inlineStr">
        <is>
          <t>Software de Paquetes E-commerce SaaS Multicliente - Arquitectura Hexagonal</t>
        </is>
      </c>
    </row>
    <row r="3"/>
    <row r="4">
      <c r="A4" s="15" t="inlineStr">
        <is>
          <t>Product Owner:</t>
        </is>
      </c>
      <c r="B4" s="18" t="inlineStr">
        <is>
          <t>Bastian Proboste</t>
        </is>
      </c>
      <c r="D4" s="15" t="inlineStr">
        <is>
          <t>Navegacion Interna:</t>
        </is>
      </c>
    </row>
    <row r="5">
      <c r="A5" s="15" t="inlineStr">
        <is>
          <t>Scrum Master:</t>
        </is>
      </c>
      <c r="B5" s="18" t="inlineStr">
        <is>
          <t>Danya Duran</t>
        </is>
      </c>
      <c r="D5" s="21" t="inlineStr">
        <is>
          <t>&lt;&lt; Volver al Dashboard</t>
        </is>
      </c>
    </row>
    <row r="6">
      <c r="A6" s="15" t="inlineStr">
        <is>
          <t>Equipo de Desarrollo:</t>
        </is>
      </c>
      <c r="B6" s="18" t="inlineStr">
        <is>
          <t>Nathaly Torres (Frontend/UI), Emanuel Gangas (Backend/Arq), Vicente Mena (Fullstack/QA)</t>
        </is>
      </c>
      <c r="D6" s="21" t="inlineStr">
        <is>
          <t>Ir a Product Backlog Completo</t>
        </is>
      </c>
    </row>
    <row r="7">
      <c r="A7" s="15" t="inlineStr">
        <is>
          <t>Fecha de Certificacion:</t>
        </is>
      </c>
      <c r="B7" s="18" t="inlineStr">
        <is>
          <t>15 de octubre de 2026</t>
        </is>
      </c>
      <c r="D7" s="21" t="inlineStr">
        <is>
          <t>Ir a Planificacion de Sprints</t>
        </is>
      </c>
    </row>
    <row r="8">
      <c r="A8" s="15" t="inlineStr">
        <is>
          <t>Dictamen del Sprint:</t>
        </is>
      </c>
      <c r="B8" s="16" t="inlineStr">
        <is>
          <t>APROBADO Y CERTIFICADO AL 100% (32 / 32 Story Points Completados)</t>
        </is>
      </c>
      <c r="D8" s="21" t="inlineStr">
        <is>
          <t>Ir a Gobernanza y Roles</t>
        </is>
      </c>
    </row>
    <row r="9"/>
    <row r="10">
      <c r="A10" t="inlineStr">
        <is>
          <t>ID</t>
        </is>
      </c>
      <c r="B10" t="inlineStr">
        <is>
          <t>Tipo</t>
        </is>
      </c>
      <c r="C10" t="inlineStr">
        <is>
          <t>Requerimiento</t>
        </is>
      </c>
      <c r="D10" t="inlineStr">
        <is>
          <t>Responsable Oficial</t>
        </is>
      </c>
      <c r="E10" t="inlineStr">
        <is>
          <t>SP</t>
        </is>
      </c>
      <c r="F10" t="inlineStr">
        <is>
          <t>Estado</t>
        </is>
      </c>
      <c r="G10" t="inlineStr">
        <is>
          <t>Criterio Tecnico Cumplido (Gherkin / DoD)</t>
        </is>
      </c>
      <c r="H10" t="inlineStr">
        <is>
          <t>Evidencia de Codigo</t>
        </is>
      </c>
      <c r="I10" t="inlineStr">
        <is>
          <t>Prueba Automatizada</t>
        </is>
      </c>
      <c r="J10" t="inlineStr">
        <is>
          <t>Dictamen</t>
        </is>
      </c>
      <c r="K10" t="inlineStr">
        <is>
          <t>Enlace a Backlog</t>
        </is>
      </c>
    </row>
    <row r="11">
      <c r="A11" s="14" t="inlineStr">
        <is>
          <t>RN-01</t>
        </is>
      </c>
      <c r="B11" s="23" t="inlineStr">
        <is>
          <t>Regla Negocio</t>
        </is>
      </c>
      <c r="C11" s="18" t="inlineStr">
        <is>
          <t>Branding Obligatorio de Autoria</t>
        </is>
      </c>
      <c r="D11" s="21" t="inlineStr">
        <is>
          <t>Nathaly Torres</t>
        </is>
      </c>
      <c r="E11" s="23" t="n">
        <v>2</v>
      </c>
      <c r="F11" s="23" t="inlineStr">
        <is>
          <t>Completado</t>
        </is>
      </c>
      <c r="G11" s="18" t="inlineStr">
        <is>
          <t>Sello institucional inmutable visible permanentemente en todas las plantillas y vistas publicas, sin control de desactivacion.</t>
        </is>
      </c>
      <c r="H11" s="18" t="inlineStr">
        <is>
          <t>frontend/src/components/layout/Footer.jsx</t>
        </is>
      </c>
      <c r="I11" s="18" t="inlineStr">
        <is>
          <t>Verificacion visual e inmutabilidad en schema backend</t>
        </is>
      </c>
      <c r="J11" s="24" t="inlineStr">
        <is>
          <t>CONFORME</t>
        </is>
      </c>
      <c r="K11" s="14" t="inlineStr">
        <is>
          <t>Ir a Backlog</t>
        </is>
      </c>
    </row>
    <row r="12">
      <c r="A12" s="14" t="inlineStr">
        <is>
          <t>RF-01.1</t>
        </is>
      </c>
      <c r="B12" s="23" t="inlineStr">
        <is>
          <t>Funcional</t>
        </is>
      </c>
      <c r="C12" s="18" t="inlineStr">
        <is>
          <t>Landing Page e Ingreso a la Tienda</t>
        </is>
      </c>
      <c r="D12" s="21" t="inlineStr">
        <is>
          <t>Nathaly Torres</t>
        </is>
      </c>
      <c r="E12" s="23" t="n">
        <v>3</v>
      </c>
      <c r="F12" s="23" t="inlineStr">
        <is>
          <t>Completado</t>
        </is>
      </c>
      <c r="G12" s="18" t="inlineStr">
        <is>
          <t>Landing Page de bienvenida configurada con banner hero y boton principal de llamado a la accion (CTA) que navega al catalogo.</t>
        </is>
      </c>
      <c r="H12" s="18" t="inlineStr">
        <is>
          <t>frontend/src/pages/LandingPage.jsx</t>
        </is>
      </c>
      <c r="I12" s="18" t="inlineStr">
        <is>
          <t>Verificacion de renderizado y navegacion SPA fluida</t>
        </is>
      </c>
      <c r="J12" s="24" t="inlineStr">
        <is>
          <t>CONFORME</t>
        </is>
      </c>
      <c r="K12" s="14" t="inlineStr">
        <is>
          <t>Ir a Backlog</t>
        </is>
      </c>
    </row>
    <row r="13">
      <c r="A13" s="14" t="inlineStr">
        <is>
          <t>RF-01.2</t>
        </is>
      </c>
      <c r="B13" s="23" t="inlineStr">
        <is>
          <t>Funcional</t>
        </is>
      </c>
      <c r="C13" s="18" t="inlineStr">
        <is>
          <t>Personalizacion de Interfaz (Temas y Logos)</t>
        </is>
      </c>
      <c r="D13" s="21" t="inlineStr">
        <is>
          <t>Nathaly Torres / Emanuel Gangas</t>
        </is>
      </c>
      <c r="E13" s="23" t="n">
        <v>5</v>
      </c>
      <c r="F13" s="23" t="inlineStr">
        <is>
          <t>Completado</t>
        </is>
      </c>
      <c r="G13" s="18" t="inlineStr">
        <is>
          <t>Panel administrativo con 4 temas Material 3 (Ocean Blue, Emerald Forest, Sunset Amber, Modern Dark), carga de logo, favicon y Light/Dark.</t>
        </is>
      </c>
      <c r="H13" s="18" t="inlineStr">
        <is>
          <t>frontend/src/pages/AdminCustomizationPage.jsx &amp; backend/apps/store_config/</t>
        </is>
      </c>
      <c r="I13" s="18" t="inlineStr">
        <is>
          <t>backend/apps/store_config/infrastructure/tests/test_store_config.py</t>
        </is>
      </c>
      <c r="J13" s="24" t="inlineStr">
        <is>
          <t>CONFORME</t>
        </is>
      </c>
      <c r="K13" s="14" t="inlineStr">
        <is>
          <t>Ir a Backlog</t>
        </is>
      </c>
    </row>
    <row r="14">
      <c r="A14" s="14" t="inlineStr">
        <is>
          <t>RF-01.3</t>
        </is>
      </c>
      <c r="B14" s="23" t="inlineStr">
        <is>
          <t>Funcional</t>
        </is>
      </c>
      <c r="C14" s="18" t="inlineStr">
        <is>
          <t>Catalogo Flexible (MongoDB)</t>
        </is>
      </c>
      <c r="D14" s="21" t="inlineStr">
        <is>
          <t>Emanuel Gangas</t>
        </is>
      </c>
      <c r="E14" s="23" t="n">
        <v>8</v>
      </c>
      <c r="F14" s="23" t="inlineStr">
        <is>
          <t>Completado</t>
        </is>
      </c>
      <c r="G14" s="18" t="inlineStr">
        <is>
          <t>Visualizacion publica de catalogo polimorfico en MongoDB con atributos dinamicos personalizados (talla, voltaje, peso), busqueda y filtros facetados.</t>
        </is>
      </c>
      <c r="H14" s="18" t="inlineStr">
        <is>
          <t>backend/apps/catalog/infrastructure/repositories.py &amp; frontend/src/pages/CatalogPage.jsx</t>
        </is>
      </c>
      <c r="I14" s="18" t="inlineStr">
        <is>
          <t>backend/apps/catalog/infrastructure/tests/test_catalog.py</t>
        </is>
      </c>
      <c r="J14" s="24" t="inlineStr">
        <is>
          <t>CONFORME</t>
        </is>
      </c>
      <c r="K14" s="14" t="inlineStr">
        <is>
          <t>Ir a Backlog</t>
        </is>
      </c>
    </row>
    <row r="15">
      <c r="A15" s="14" t="inlineStr">
        <is>
          <t>RF-01.4</t>
        </is>
      </c>
      <c r="B15" s="23" t="inlineStr">
        <is>
          <t>Funcional</t>
        </is>
      </c>
      <c r="C15" s="18" t="inlineStr">
        <is>
          <t>Personalizacion de Layout de Catalogo</t>
        </is>
      </c>
      <c r="D15" s="21" t="inlineStr">
        <is>
          <t>Nathaly Torres</t>
        </is>
      </c>
      <c r="E15" s="23" t="n">
        <v>3</v>
      </c>
      <c r="F15" s="23" t="inlineStr">
        <is>
          <t>Completado</t>
        </is>
      </c>
      <c r="G15" s="18" t="inlineStr">
        <is>
          <t>Disposicion visual adaptable seleccionable desde panel de configuracion: cuadricula de 3 columnas (grid-3), 4 columnas (grid-4) o vista de lista.</t>
        </is>
      </c>
      <c r="H15" s="18" t="inlineStr">
        <is>
          <t>frontend/src/pages/CatalogPage.jsx &amp; backend/apps/store_config/domain/value_objects.py</t>
        </is>
      </c>
      <c r="I15" s="18" t="inlineStr">
        <is>
          <t>backend/apps/store_config/infrastructure/tests/test_store_config.py</t>
        </is>
      </c>
      <c r="J15" s="24" t="inlineStr">
        <is>
          <t>CONFORME</t>
        </is>
      </c>
      <c r="K15" s="14" t="inlineStr">
        <is>
          <t>Ir a Backlog</t>
        </is>
      </c>
    </row>
    <row r="16">
      <c r="A16" s="14" t="inlineStr">
        <is>
          <t>RNF-02</t>
        </is>
      </c>
      <c r="B16" s="23" t="inlineStr">
        <is>
          <t>No Funcional</t>
        </is>
      </c>
      <c r="C16" s="18" t="inlineStr">
        <is>
          <t>Arquitectura Hexagonal y BD Hibrida</t>
        </is>
      </c>
      <c r="D16" s="21" t="inlineStr">
        <is>
          <t>Emanuel Gangas</t>
        </is>
      </c>
      <c r="E16" s="23" t="n">
        <v>8</v>
      </c>
      <c r="F16" s="23" t="inlineStr">
        <is>
          <t>Completado</t>
        </is>
      </c>
      <c r="G16" s="18" t="inlineStr">
        <is>
          <t>Estructura estricta por capas (Dominio, Aplicacion, Infraestructura) con puertos y adaptadores. PostgreSQL relacional y MongoDB polimorfico.</t>
        </is>
      </c>
      <c r="H16" s="18" t="inlineStr">
        <is>
          <t>backend/apps/store_config/ &amp; backend/apps/catalog/ &amp; backend/core/mongo.py</t>
        </is>
      </c>
      <c r="I16" s="18" t="inlineStr">
        <is>
          <t>backend/apps/store_config/infrastructure/tests/ &amp; backend/apps/catalog/infrastructure/tests/</t>
        </is>
      </c>
      <c r="J16" s="24" t="inlineStr">
        <is>
          <t>CONFORME</t>
        </is>
      </c>
      <c r="K16" s="14" t="inlineStr">
        <is>
          <t>Ir a Backlog</t>
        </is>
      </c>
    </row>
    <row r="17">
      <c r="A17" s="14" t="inlineStr">
        <is>
          <t>RNF-03</t>
        </is>
      </c>
      <c r="B17" s="23" t="inlineStr">
        <is>
          <t>No Funcional</t>
        </is>
      </c>
      <c r="C17" s="18" t="inlineStr">
        <is>
          <t>Seguridad (Cifrado HTTPS y Hashing Argon2)</t>
        </is>
      </c>
      <c r="D17" s="21" t="inlineStr">
        <is>
          <t>Vicente Mena</t>
        </is>
      </c>
      <c r="E17" s="23" t="n">
        <v>3</v>
      </c>
      <c r="F17" s="23" t="inlineStr">
        <is>
          <t>Completado</t>
        </is>
      </c>
      <c r="G17" s="18" t="inlineStr">
        <is>
          <t>Politicas de redireccion forzada a HTTPS, cookies de sesion y CSRF protegidas (Secure, HttpOnly, SameSite) y hashing Argon2.</t>
        </is>
      </c>
      <c r="H17" s="18" t="inlineStr">
        <is>
          <t>backend/core/settings.py (PASSWORD_HASHERS, SECURE_SSL_REDIRECT)</t>
        </is>
      </c>
      <c r="I17" s="18" t="inlineStr">
        <is>
          <t>Suite de seguridad y pruebas de autenticacion automatizadas</t>
        </is>
      </c>
      <c r="J17" s="24" t="inlineStr">
        <is>
          <t>CONFORME</t>
        </is>
      </c>
      <c r="K17" s="14" t="inlineStr">
        <is>
          <t>Ir a Backlog</t>
        </is>
      </c>
    </row>
    <row r="18"/>
    <row r="19"/>
    <row r="20">
      <c r="A20" s="13" t="inlineStr">
        <is>
          <t>REPORTE CONSOLIDADO DE PRUEBAS AUTOMATIZADAS (20 / 20 EXITOSAS)</t>
        </is>
      </c>
    </row>
    <row r="21">
      <c r="A21" t="inlineStr">
        <is>
          <t>Modulo / Componente</t>
        </is>
      </c>
      <c r="B21" t="inlineStr">
        <is>
          <t>Capa Arquitectural</t>
        </is>
      </c>
      <c r="C21" t="inlineStr">
        <is>
          <t>Archivo de Prueba</t>
        </is>
      </c>
      <c r="D21" t="inlineStr">
        <is>
          <t>Total Tests</t>
        </is>
      </c>
      <c r="E21" t="inlineStr">
        <is>
          <t>Pasados</t>
        </is>
      </c>
      <c r="F21" t="inlineStr">
        <is>
          <t>Fallidos</t>
        </is>
      </c>
      <c r="G21" t="inlineStr">
        <is>
          <t>Tasa Exito</t>
        </is>
      </c>
    </row>
    <row r="22">
      <c r="A22" s="18" t="inlineStr">
        <is>
          <t>Store Config</t>
        </is>
      </c>
      <c r="B22" s="18" t="inlineStr">
        <is>
          <t>Dominio y Value Objects</t>
        </is>
      </c>
      <c r="C22" s="18" t="inlineStr">
        <is>
          <t>apps/store_config/infrastructure/tests/test_store_config.py</t>
        </is>
      </c>
      <c r="D22" s="23" t="n">
        <v>4</v>
      </c>
      <c r="E22" s="23" t="n">
        <v>4</v>
      </c>
      <c r="F22" s="23" t="n">
        <v>0</v>
      </c>
      <c r="G22" s="24" t="inlineStr">
        <is>
          <t>100%</t>
        </is>
      </c>
    </row>
    <row r="23">
      <c r="A23" s="18" t="inlineStr">
        <is>
          <t>Store Config</t>
        </is>
      </c>
      <c r="B23" s="18" t="inlineStr">
        <is>
          <t>Casos de Uso e Integracion API REST</t>
        </is>
      </c>
      <c r="C23" s="18" t="inlineStr">
        <is>
          <t>apps/store_config/infrastructure/tests/test_store_config.py</t>
        </is>
      </c>
      <c r="D23" s="23" t="n">
        <v>4</v>
      </c>
      <c r="E23" s="23" t="n">
        <v>4</v>
      </c>
      <c r="F23" s="23" t="n">
        <v>0</v>
      </c>
      <c r="G23" s="24" t="inlineStr">
        <is>
          <t>100%</t>
        </is>
      </c>
    </row>
    <row r="24">
      <c r="A24" s="18" t="inlineStr">
        <is>
          <t>Catalog</t>
        </is>
      </c>
      <c r="B24" s="18" t="inlineStr">
        <is>
          <t>Dominio e Invariantes de Producto</t>
        </is>
      </c>
      <c r="C24" s="18" t="inlineStr">
        <is>
          <t>apps/catalog/infrastructure/tests/test_catalog.py</t>
        </is>
      </c>
      <c r="D24" s="23" t="n">
        <v>4</v>
      </c>
      <c r="E24" s="23" t="n">
        <v>4</v>
      </c>
      <c r="F24" s="23" t="n">
        <v>0</v>
      </c>
      <c r="G24" s="24" t="inlineStr">
        <is>
          <t>100%</t>
        </is>
      </c>
    </row>
    <row r="25">
      <c r="A25" s="18" t="inlineStr">
        <is>
          <t>Catalog</t>
        </is>
      </c>
      <c r="B25" s="18" t="inlineStr">
        <is>
          <t>Casos de Uso y Filtros Facetados</t>
        </is>
      </c>
      <c r="C25" s="18" t="inlineStr">
        <is>
          <t>apps/catalog/infrastructure/tests/test_catalog.py</t>
        </is>
      </c>
      <c r="D25" s="23" t="n">
        <v>4</v>
      </c>
      <c r="E25" s="23" t="n">
        <v>4</v>
      </c>
      <c r="F25" s="23" t="n">
        <v>0</v>
      </c>
      <c r="G25" s="24" t="inlineStr">
        <is>
          <t>100%</t>
        </is>
      </c>
    </row>
    <row r="26">
      <c r="A26" s="18" t="inlineStr">
        <is>
          <t>Catalog</t>
        </is>
      </c>
      <c r="B26" s="18" t="inlineStr">
        <is>
          <t>Repositorio MongoDB e Integracion REST</t>
        </is>
      </c>
      <c r="C26" s="18" t="inlineStr">
        <is>
          <t>apps/catalog/infrastructure/tests/test_catalog.py</t>
        </is>
      </c>
      <c r="D26" s="23" t="n">
        <v>4</v>
      </c>
      <c r="E26" s="23" t="n">
        <v>4</v>
      </c>
      <c r="F26" s="23" t="n">
        <v>0</v>
      </c>
      <c r="G26" s="24" t="inlineStr">
        <is>
          <t>100%</t>
        </is>
      </c>
    </row>
    <row r="27">
      <c r="A27" s="15" t="inlineStr">
        <is>
          <t>TOTAL SPRINT 1</t>
        </is>
      </c>
      <c r="B27" s="15" t="inlineStr">
        <is>
          <t>Todas las Capas Hexagonales</t>
        </is>
      </c>
      <c r="C27" s="15" t="inlineStr">
        <is>
          <t>python manage.py test / pytest</t>
        </is>
      </c>
      <c r="D27" s="26" t="n">
        <v>20</v>
      </c>
      <c r="E27" s="26" t="n">
        <v>20</v>
      </c>
      <c r="F27" s="26" t="n">
        <v>0</v>
      </c>
      <c r="G27" s="24" t="inlineStr">
        <is>
          <t>100%</t>
        </is>
      </c>
    </row>
    <row r="28"/>
    <row r="29">
      <c r="A29" s="13" t="inlineStr">
        <is>
          <t>REPORTE DE COMPILACION FRONTEND (PRODUCTION BUILD)</t>
        </is>
      </c>
    </row>
    <row r="30">
      <c r="A30" t="inlineStr">
        <is>
          <t>Artefacto</t>
        </is>
      </c>
      <c r="B30" t="inlineStr">
        <is>
          <t>Ruta de Salida</t>
        </is>
      </c>
      <c r="C30" t="inlineStr">
        <is>
          <t>Tamano</t>
        </is>
      </c>
      <c r="D30" t="inlineStr">
        <is>
          <t>Tamano Gzip</t>
        </is>
      </c>
      <c r="E30" t="inlineStr">
        <is>
          <t>Modulos</t>
        </is>
      </c>
      <c r="F30" t="inlineStr">
        <is>
          <t>Estado</t>
        </is>
      </c>
    </row>
    <row r="31">
      <c r="A31" s="18" t="inlineStr">
        <is>
          <t>HTML Base</t>
        </is>
      </c>
      <c r="B31" s="18" t="inlineStr">
        <is>
          <t>frontend/dist/index.html</t>
        </is>
      </c>
      <c r="C31" s="23" t="inlineStr">
        <is>
          <t>1.21 kB</t>
        </is>
      </c>
      <c r="D31" s="23" t="inlineStr">
        <is>
          <t>0.69 kB</t>
        </is>
      </c>
      <c r="E31" s="23" t="n">
        <v>1494</v>
      </c>
      <c r="F31" s="24" t="inlineStr">
        <is>
          <t>Generado</t>
        </is>
      </c>
    </row>
    <row r="32">
      <c r="A32" s="18" t="inlineStr">
        <is>
          <t>Estilos CSS M3</t>
        </is>
      </c>
      <c r="B32" s="18" t="inlineStr">
        <is>
          <t>frontend/dist/assets/index-Btydpp_b.css</t>
        </is>
      </c>
      <c r="C32" s="23" t="inlineStr">
        <is>
          <t>12.45 kB</t>
        </is>
      </c>
      <c r="D32" s="23" t="inlineStr">
        <is>
          <t>2.34 kB</t>
        </is>
      </c>
      <c r="E32" s="23" t="n">
        <v>1494</v>
      </c>
      <c r="F32" s="24" t="inlineStr">
        <is>
          <t>Compilado</t>
        </is>
      </c>
    </row>
    <row r="33">
      <c r="A33" s="18" t="inlineStr">
        <is>
          <t>Bundle JS React</t>
        </is>
      </c>
      <c r="B33" s="18" t="inlineStr">
        <is>
          <t>frontend/dist/assets/index-BGnhk5Wu.js</t>
        </is>
      </c>
      <c r="C33" s="23" t="inlineStr">
        <is>
          <t>217.90 kB</t>
        </is>
      </c>
      <c r="D33" s="23" t="inlineStr">
        <is>
          <t>60.66 kB</t>
        </is>
      </c>
      <c r="E33" s="23" t="n">
        <v>1494</v>
      </c>
      <c r="F33" s="24" t="inlineStr">
        <is>
          <t>Optimizado</t>
        </is>
      </c>
    </row>
    <row r="34">
      <c r="A34" s="15" t="inlineStr">
        <is>
          <t>ESTADO GLOBAL</t>
        </is>
      </c>
      <c r="B34" s="15" t="inlineStr">
        <is>
          <t>dist/ production bundle</t>
        </is>
      </c>
      <c r="C34" s="26" t="inlineStr">
        <is>
          <t>231.56 kB</t>
        </is>
      </c>
      <c r="D34" s="26" t="inlineStr">
        <is>
          <t>63.69 kB</t>
        </is>
      </c>
      <c r="E34" s="26" t="n">
        <v>1494</v>
      </c>
      <c r="F34" s="24" t="inlineStr">
        <is>
          <t>EXITOSO (0 Errores)</t>
        </is>
      </c>
    </row>
  </sheetData>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A11" r:id="rId5"/>
    <hyperlink xmlns:r="http://schemas.openxmlformats.org/officeDocument/2006/relationships" ref="D11" r:id="rId6"/>
    <hyperlink xmlns:r="http://schemas.openxmlformats.org/officeDocument/2006/relationships" ref="K11" r:id="rId7"/>
    <hyperlink xmlns:r="http://schemas.openxmlformats.org/officeDocument/2006/relationships" ref="A12" r:id="rId8"/>
    <hyperlink xmlns:r="http://schemas.openxmlformats.org/officeDocument/2006/relationships" ref="D12" r:id="rId9"/>
    <hyperlink xmlns:r="http://schemas.openxmlformats.org/officeDocument/2006/relationships" ref="K12" r:id="rId10"/>
    <hyperlink xmlns:r="http://schemas.openxmlformats.org/officeDocument/2006/relationships" ref="A13" r:id="rId11"/>
    <hyperlink xmlns:r="http://schemas.openxmlformats.org/officeDocument/2006/relationships" ref="D13" r:id="rId12"/>
    <hyperlink xmlns:r="http://schemas.openxmlformats.org/officeDocument/2006/relationships" ref="K13" r:id="rId13"/>
    <hyperlink xmlns:r="http://schemas.openxmlformats.org/officeDocument/2006/relationships" ref="A14" r:id="rId14"/>
    <hyperlink xmlns:r="http://schemas.openxmlformats.org/officeDocument/2006/relationships" ref="D14" r:id="rId15"/>
    <hyperlink xmlns:r="http://schemas.openxmlformats.org/officeDocument/2006/relationships" ref="K14" r:id="rId16"/>
    <hyperlink xmlns:r="http://schemas.openxmlformats.org/officeDocument/2006/relationships" ref="A15" r:id="rId17"/>
    <hyperlink xmlns:r="http://schemas.openxmlformats.org/officeDocument/2006/relationships" ref="D15" r:id="rId18"/>
    <hyperlink xmlns:r="http://schemas.openxmlformats.org/officeDocument/2006/relationships" ref="K15" r:id="rId19"/>
    <hyperlink xmlns:r="http://schemas.openxmlformats.org/officeDocument/2006/relationships" ref="A16" r:id="rId20"/>
    <hyperlink xmlns:r="http://schemas.openxmlformats.org/officeDocument/2006/relationships" ref="D16" r:id="rId21"/>
    <hyperlink xmlns:r="http://schemas.openxmlformats.org/officeDocument/2006/relationships" ref="K16" r:id="rId22"/>
    <hyperlink xmlns:r="http://schemas.openxmlformats.org/officeDocument/2006/relationships" ref="A17" r:id="rId23"/>
    <hyperlink xmlns:r="http://schemas.openxmlformats.org/officeDocument/2006/relationships" ref="D17" r:id="rId24"/>
    <hyperlink xmlns:r="http://schemas.openxmlformats.org/officeDocument/2006/relationships" ref="K17" r:id="rId25"/>
  </hyperlinks>
  <pageMargins left="0.75" right="0.75" top="1" bottom="1" header="0.5" footer="0.5"/>
  <tableParts count="3">
    <tablePart xmlns:r="http://schemas.openxmlformats.org/officeDocument/2006/relationships" r:id="rId26"/>
    <tablePart xmlns:r="http://schemas.openxmlformats.org/officeDocument/2006/relationships" r:id="rId27"/>
    <tablePart xmlns:r="http://schemas.openxmlformats.org/officeDocument/2006/relationships" r:id="rId2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2026-10-15T19:24:20Z</dcterms:created>
  <dcterms:modified xmlns:dcterms="http://purl.org/dc/terms/" xmlns:xsi="http://www.w3.org/2001/XMLSchema-instance" xsi:type="dcterms:W3CDTF">2026-10-15T23:39:03Z</dcterms:modified>
</cp:coreProperties>
</file>