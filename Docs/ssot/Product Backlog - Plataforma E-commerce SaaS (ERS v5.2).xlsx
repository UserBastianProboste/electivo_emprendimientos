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amp; KPIs" sheetId="1" r:id="rId5"/>
    <sheet state="visible" name="Product Backlog" sheetId="2" r:id="rId6"/>
    <sheet state="visible" name="Planificación de Sprints" sheetId="3" r:id="rId7"/>
    <sheet state="visible" name="Gobernanza" sheetId="4" r:id="rId8"/>
  </sheets>
  <definedNames/>
  <calcPr/>
</workbook>
</file>

<file path=xl/sharedStrings.xml><?xml version="1.0" encoding="utf-8"?>
<sst xmlns="http://schemas.openxmlformats.org/spreadsheetml/2006/main" count="404" uniqueCount="224">
  <si>
    <t>Resumen Ejecutivo</t>
  </si>
  <si>
    <t>Proyecto</t>
  </si>
  <si>
    <t>Software de Paquetes E-commerce Multicliente</t>
  </si>
  <si>
    <t>Versión</t>
  </si>
  <si>
    <t>Arquitectura</t>
  </si>
  <si>
    <t>Hexagonal con Django + React + PostgreSQL + MongoDB</t>
  </si>
  <si>
    <t>Autores</t>
  </si>
  <si>
    <t>Emilio San Martín y Marianela Pareja</t>
  </si>
  <si>
    <t>Revisores</t>
  </si>
  <si>
    <t>Prof. René Galarce y Prof. Ximena del Carmen Prado</t>
  </si>
  <si>
    <t>Rol</t>
  </si>
  <si>
    <t>KPIs Principales</t>
  </si>
  <si>
    <t>Desglose por Estado</t>
  </si>
  <si>
    <t>Permisos/Descripción</t>
  </si>
  <si>
    <t>Desglose por Prioridad</t>
  </si>
  <si>
    <t>Total de Ítems en el Backlog</t>
  </si>
  <si>
    <t>Cliente Comprador</t>
  </si>
  <si>
    <t>Puede navegar catálogo, agregar al carrito, registrarse o comprar como invitado, hacer seguimiento de pedidos.</t>
  </si>
  <si>
    <t>Emprendedor Admin</t>
  </si>
  <si>
    <t>ID</t>
  </si>
  <si>
    <t>Puede configurar tienda, plantillas, pasarelas de pago, logística, gestionar inventario y pedidos.</t>
  </si>
  <si>
    <t>Tipo</t>
  </si>
  <si>
    <t>Descripción</t>
  </si>
  <si>
    <t>Restricción</t>
  </si>
  <si>
    <t>Despliegue Autónomo</t>
  </si>
  <si>
    <t>Sprint</t>
  </si>
  <si>
    <t>Supuesto</t>
  </si>
  <si>
    <t>Entornos de prueba de APIs Externas disponibles</t>
  </si>
  <si>
    <t>Objetivo del Sprint</t>
  </si>
  <si>
    <t>Épica / Módulo</t>
  </si>
  <si>
    <t>Cuentas de Servicios / API Keys a cargo del emprendedor</t>
  </si>
  <si>
    <t>Cantidad de Requerimientos</t>
  </si>
  <si>
    <t>Título del Requerimiento</t>
  </si>
  <si>
    <t>Total Story Points</t>
  </si>
  <si>
    <t>Descripción Íntegra / Historia de Usuario</t>
  </si>
  <si>
    <t>Story Points Completados</t>
  </si>
  <si>
    <t>Ítem</t>
  </si>
  <si>
    <t>Criterio de Aceptación (Gherkin / Verificación)</t>
  </si>
  <si>
    <t>Capacidad Restante</t>
  </si>
  <si>
    <t>% de Completitud</t>
  </si>
  <si>
    <t>Actor / Rol</t>
  </si>
  <si>
    <t>Componente Técnico</t>
  </si>
  <si>
    <t>Alojamiento y Despliegue/Hosting</t>
  </si>
  <si>
    <t>Sprint 1</t>
  </si>
  <si>
    <t>Prioridad</t>
  </si>
  <si>
    <t>Complejidad (Fibonacci SP)</t>
  </si>
  <si>
    <t>Adquisición de Licencias/Contratos comerciales</t>
  </si>
  <si>
    <t>Sprint Asignado</t>
  </si>
  <si>
    <t>Facturación Electrónica Automática SII</t>
  </si>
  <si>
    <t>Arquitectura Base, DB Híbrida y Catálogo</t>
  </si>
  <si>
    <t>Estado</t>
  </si>
  <si>
    <t>% Avance</t>
  </si>
  <si>
    <t>Responsable</t>
  </si>
  <si>
    <t>Decisión</t>
  </si>
  <si>
    <t>Notas / Dependencias</t>
  </si>
  <si>
    <t>Estado de Decisión</t>
  </si>
  <si>
    <t>Resolución</t>
  </si>
  <si>
    <t>Entrevistas de validación de levantamiento con emprendedores</t>
  </si>
  <si>
    <t>Pendiente</t>
  </si>
  <si>
    <t>Definición de las 4 paletas de colores para el MVP</t>
  </si>
  <si>
    <t>Detalles</t>
  </si>
  <si>
    <t>v4.0-4.5</t>
  </si>
  <si>
    <t>RN-01</t>
  </si>
  <si>
    <t>Historial previo</t>
  </si>
  <si>
    <t>Por Hacer</t>
  </si>
  <si>
    <t>v5.0</t>
  </si>
  <si>
    <t>Regla de Negocio</t>
  </si>
  <si>
    <t>-</t>
  </si>
  <si>
    <t>RN - Reglas de Negocio</t>
  </si>
  <si>
    <t>v5.1</t>
  </si>
  <si>
    <t>Branding Obligatorio de Autoría</t>
  </si>
  <si>
    <t>v5.2</t>
  </si>
  <si>
    <t>Todo E-commerce generado por la plataforma deberá mostrar obligatoriamente el logo de la Universidad en un tamaño destacado, independientemente de la plantilla o el logo propio del negocio que el emprendedor configure. Esta marca de autoría no podrá ser ocultada desde el panel de control.</t>
  </si>
  <si>
    <t>Inclusión de Módulo de Marketing y SEO (Candidato a aprobación, 25 de septiembre de 2026)</t>
  </si>
  <si>
    <t>Verificar que el logo de la Universidad sea visible de forma permanente y destacada en todas las plantillas y que no exista opción en el Backoffice para ocultarlo o desactivarlo.</t>
  </si>
  <si>
    <t>Sistema / Ambos</t>
  </si>
  <si>
    <t>Frontend (React)</t>
  </si>
  <si>
    <t>Alta</t>
  </si>
  <si>
    <t>Total de Puntos de Historia</t>
  </si>
  <si>
    <t>En Progreso</t>
  </si>
  <si>
    <t>Media</t>
  </si>
  <si>
    <t>Puntos Completados</t>
  </si>
  <si>
    <t>Sprint 2</t>
  </si>
  <si>
    <t>Backoffice, SKUs e Inventario</t>
  </si>
  <si>
    <t>En Revisión / QA</t>
  </si>
  <si>
    <t>Por asignar</t>
  </si>
  <si>
    <t>Baja</t>
  </si>
  <si>
    <t>RN-02</t>
  </si>
  <si>
    <t>Modalidades de Pago Configurables</t>
  </si>
  <si>
    <t>El flujo de Checkout dependerá de la configuración del emprendedor. El sistema debe permitir activar o desactivar proveedores de pago (Transbank, PayPal, Mercado Pago, servicios de automatización de transferencias como Linkify, o Verificación Manual de Transferencias). Solo se mostrarán al comprador final las opciones habilitadas y configuradas por el administrador.</t>
  </si>
  <si>
    <t>Al activar/desactivar proveedores en el panel de administración, el flujo de Checkout muestra exclusivamente las pasarelas activas y con credenciales configuradas.</t>
  </si>
  <si>
    <t>Emprendedor / Comprador</t>
  </si>
  <si>
    <t>Fullstack (Django + React + PostgreSQL)</t>
  </si>
  <si>
    <t>% de Avance General</t>
  </si>
  <si>
    <t>Sprint 3</t>
  </si>
  <si>
    <t>Checkout, Pasarelas de Pago y Logística/Tracking</t>
  </si>
  <si>
    <t>RN-03</t>
  </si>
  <si>
    <t>Gestión de Inventario (Stock)</t>
  </si>
  <si>
    <t>No se podrán procesar ventas de productos cuyo stock sea igual a cero. El sistema deberá descontar el inventario de manera transaccional al momento de confirmar un pago exitoso.</t>
  </si>
  <si>
    <t>Completado</t>
  </si>
  <si>
    <t>Bloqueo de compra para ítems con stock = 0 y descuento atómico/transaccional del stock inmediatamente tras confirmación de pago exitoso.</t>
  </si>
  <si>
    <t>Sistema / Comprador</t>
  </si>
  <si>
    <t>Backend (Django + PostgreSQL + MongoDB)</t>
  </si>
  <si>
    <t>Bloqueado</t>
  </si>
  <si>
    <t>Sprint 4</t>
  </si>
  <si>
    <t>Marketing, SEO, Privacidad y Manual de Despliegue</t>
  </si>
  <si>
    <t>Desglose por Componente Técnico</t>
  </si>
  <si>
    <t>Desglose por Épica / Módulo</t>
  </si>
  <si>
    <t>RN-04</t>
  </si>
  <si>
    <t>Fullstack</t>
  </si>
  <si>
    <t>Autenticación de Compradores</t>
  </si>
  <si>
    <t>El sistema respetará el nivel de barrera de entrada que defina el dueño de la tienda. El emprendedor debe poder forzar a los usuarios a crear una cuenta, permitirles iniciar sesión rápidamente vía Google, o habilitar la "compra como invitado" (sin registro).</t>
  </si>
  <si>
    <t>El acceso al checkout respeta estrictamente el modo configurado por el emprendedor (Invitado, Cuenta Obligatoria o Google SSO).</t>
  </si>
  <si>
    <t>RF-01.1</t>
  </si>
  <si>
    <t>Funcional</t>
  </si>
  <si>
    <t>RF-01: Catálogo y Personalización</t>
  </si>
  <si>
    <t>Landing Page e Ingreso a la Tienda</t>
  </si>
  <si>
    <t>El sistema proveerá una Landing Page de bienvenida configurada por el emprendedor, la cual contendrá información principal del negocio y un llamado a la acción (botón) para ingresar al catálogo E-commerce propiamente tal.</t>
  </si>
  <si>
    <t>Dado que un visitante ingresa al dominio del cliente, cuando carga la página principal, entonces visualizará la Landing Page en lugar de ver el catálogo directamente.</t>
  </si>
  <si>
    <t>Comprador / Emprendedor</t>
  </si>
  <si>
    <t>Frontend (React) + Backend (Django)</t>
  </si>
  <si>
    <t>RF-01.2</t>
  </si>
  <si>
    <t>Personalización de Interfaz (Temas, Logos y Favicon)</t>
  </si>
  <si>
    <t>El sistema deberá ofrecer un panel donde el emprendedor pueda seleccionar entre un mínimo de 4 plantillas de colores predefinidas para estructurar su tienda. Además, permitirá cargar el logo comercial del negocio y un ícono de pestaña (favicon) personalizado, garantizando siempre la presencia inamovible del logo de la Universidad en la interfaz principal (RN-01).</t>
  </si>
  <si>
    <t>Dado que el administrador sube un nuevo logotipo y favicon en el panel de configuración, cuando el comprador visita la tienda, entonces visualizará el logo actualizado en la cabecera de la página y el favicon personalizado en la pestaña del navegador.</t>
  </si>
  <si>
    <t>Emprendedor</t>
  </si>
  <si>
    <t>RF-01.3</t>
  </si>
  <si>
    <t>Catálogo Flexible (MongoDB)</t>
  </si>
  <si>
    <t>El sistema permitirá la visualización pública de los productos. Dado el enfoque multipropósito, el catálogo estará sustentado en MongoDB para permitir atributos personalizados (ej. tallas para ropa, voltaje para electrónica) definidos por el emprendedor. Se incluirán filtros dinámicos.</t>
  </si>
  <si>
    <t>Dado que el administrador crea un producto con atributos propios de su rubro, cuando un cliente navega el catálogo, entonces podrá filtrar y ver el producto con esos atributos exactos.</t>
  </si>
  <si>
    <t>Fullstack (Django + React + MongoDB)</t>
  </si>
  <si>
    <t>Backend (Django)</t>
  </si>
  <si>
    <t>RF-01.4</t>
  </si>
  <si>
    <t>Personalización de la Estructura del Catálogo (Layout)</t>
  </si>
  <si>
    <t>El panel de administración deberá permitir al emprendedor modificar la disposición visual (layout) en la que se exhiben los productos dentro del catálogo público. El sistema ofrecerá distintas estructuras predefinidas (ej. vista en cuadrícula de 3 columnas, cuadrícula de 4 columnas, o vista de lista con descripciones extendidas) para que la presentación se adapte al tipo de producto que comercializa el negocio.</t>
  </si>
  <si>
    <t>RF-02: Carrito, Pagos y Logística</t>
  </si>
  <si>
    <t>Dado que el administrador selecciona la estructura de "vista de lista" en su panel de configuración, cuando un cliente ingresa al catálogo de la tienda, entonces los productos se renderizarán secuencialmente uno debajo del otro con su descripción al costado, sobrescribiendo la cuadrícula predeterminada.</t>
  </si>
  <si>
    <t>RF-02.1</t>
  </si>
  <si>
    <t>Base de Datos</t>
  </si>
  <si>
    <t>Autenticación Configurable de Checkout</t>
  </si>
  <si>
    <t>El proceso de pago solicitará inicio de sesión o datos de contacto basándose en la RN-04. El flujo se adaptará dinámicamente: Modo Invitado (solo pide correo y dirección), Modo Cuenta Obligatoria (pide registro/login), Modo Google SSO (Single Sign-On).</t>
  </si>
  <si>
    <t>Dado que un comprador inicia el checkout, cuando la tienda tiene configurado uno de los modos de autenticación (Invitado, Cuenta Obligatoria o Google SSO), entonces el formulario de checkout solicitará únicamente los pasos de identificación correspondientes a esa modalidad.</t>
  </si>
  <si>
    <t>Fullstack (Django + React + PostgreSQL + OAuth)</t>
  </si>
  <si>
    <t>RF-02.2</t>
  </si>
  <si>
    <t>Pasarelas de Pago Múltiples</t>
  </si>
  <si>
    <t>El sistema integrará las APIs de pago mediante puertos en la Arquitectura Hexagonal. Durante el checkout, el sistema presentará al comprador las opciones habilitadas por el emprendedor (MercadoPago, PayPal, Transbank, o servicios de verificación de transferencias de bajo costo/automatizados como Linkify, además de validación manual de transferencias).</t>
  </si>
  <si>
    <t>Dado que el cliente procede a pagar, cuando el emprendedor solo configuró Transbank y Linkify, entonces la vista de pagos no mostrará PayPal ni MercadoPago.</t>
  </si>
  <si>
    <t>Backend (Puertos/Adaptadores Django) + APIs Pago</t>
  </si>
  <si>
    <t>RF-02.3</t>
  </si>
  <si>
    <t>Integración de Logística y Envío</t>
  </si>
  <si>
    <t>Al momento de ingresar la dirección, el sistema consumirá las APIs logísticas habilitadas (Starken, Chilexpress) para cotizar el despacho, o bien ofrecerá la opción de "Retiro en local" si el administrador la configuró.</t>
  </si>
  <si>
    <t>Dado que el cliente ingresa su comuna de destino, cuando la tienda tiene activa el API de Starken, entonces se calculará el costo de envío y se sumará al total del carrito.</t>
  </si>
  <si>
    <t>Backend (Puertos/Adaptadores Django) + APIs Logística</t>
  </si>
  <si>
    <t>RF-03: Administración (Backoffice)</t>
  </si>
  <si>
    <t>RF-02.4</t>
  </si>
  <si>
    <t>Portal de Seguimiento (Tracking) para Compradores</t>
  </si>
  <si>
    <t>El sistema deberá proveer una interfaz gráfica para que el comprador pueda visualizar el estado actualizado de su despacho. Para los compradores con cuenta registrada, el seguimiento estará disponible dentro de su “Historial de Pedidos”. Para compradores invitados, el sistema proveerá un enlace de seguimiento público y seguro donde el usuario validará su consulta ingresando su número de orden y correo electrónico. El sistema abstraerá la complejidad consumiendo la API del proveedor logístico seleccionado (ej. Starken, Chilexpress) a través de un adaptador hexagonal, y mostrará al comprador una línea de tiempo estandarizada del envío (ej. En origen → En tránsito → En reparto).</t>
  </si>
  <si>
    <t>Dado que un comprador accede al portal de seguimiento con datos válidos, cuando el pedido se encuentra en estado "Despachado", entonces el sistema mostrará la línea de tiempo actualizada consultando la API del proveedor logístico correspondiente.</t>
  </si>
  <si>
    <t>Comprador</t>
  </si>
  <si>
    <t>Fullstack (Django + React + Adaptador Logístico)</t>
  </si>
  <si>
    <t>Arquitectura / Docs</t>
  </si>
  <si>
    <t>RF-03.1</t>
  </si>
  <si>
    <t>Dashboard Operativo</t>
  </si>
  <si>
    <t>El emprendedor contará con un panel de control inicial (Dashboard) que graficará el rendimiento comercial, listando las últimas órdenes, nivel de ventas mensual e histórico (filtrable por fecha).</t>
  </si>
  <si>
    <t>RF-04: Marketing, Operaciones y SEO</t>
  </si>
  <si>
    <t>Dado que el emprendedor accede al Dashboard administrativo, cuando filtra por un rango de fechas específico, entonces el sistema actualizará los gráficos de rendimiento comercial, ventas y el listado de últimas órdenes correspondientes al período.</t>
  </si>
  <si>
    <t>Fullstack (React + Django + PostgreSQL)</t>
  </si>
  <si>
    <t>RF-03.2</t>
  </si>
  <si>
    <t>Gestión de Inventario (CRUD)</t>
  </si>
  <si>
    <t>El panel permitirá crear, leer, actualizar y eliminar (CRUD) productos, incluyendo el control numérico de stock y la subida de una galería de imágenes.</t>
  </si>
  <si>
    <t>RNF: Requerimientos No Funcionales</t>
  </si>
  <si>
    <t>Dado que el stock de un producto llega a 0, cuando un cliente intenta agregarlo al carrito, entonces el sistema impedirá la acción notificando falta de inventario.</t>
  </si>
  <si>
    <t>Fullstack (React + Django + MongoDB + PostgreSQL)</t>
  </si>
  <si>
    <t>RF-03.3</t>
  </si>
  <si>
    <t>Gestión de Pedidos y Tracking</t>
  </si>
  <si>
    <t>El emprendedor visualizará un listado con todas las órdenes de compra. Podrá actualizar el estado del pedido (Pendiente, Pagado, En Preparación, Despachado, Entregado, Cancelado) para realizar seguimiento y trazabilidad de la compra hacia el cliente.</t>
  </si>
  <si>
    <t>Dado que el emprendedor visualiza el listado de órdenes en el Backoffice, cuando cambia el estado de un pedido (ej. a "En Preparación" o "Despachado"), entonces el nuevo estado quedará registrado y reflejado para la trazabilidad del cliente.</t>
  </si>
  <si>
    <t>RF-03.4</t>
  </si>
  <si>
    <t>Gestión de Variantes de Producto (SKUs)</t>
  </si>
  <si>
    <t>El sistema deberá permitir desglosar el inventario de un producto en variantes basadas en atributos dinámicos (ej. talla, color, capacidad). El control de stock y la validación de compra se realizarán de forma estricta a nivel de variante, y no únicamente a nivel del producto "padre".</t>
  </si>
  <si>
    <t>Dado que una variante específica (ej. Polera Talla M) agota su stock, cuando un cliente intenta agregar esa variante al carrito, entonces el sistema impedirá la acción, permitiendo la compra únicamente de las variantes que aún dispongan de inventario (ej. Polera Talla L).</t>
  </si>
  <si>
    <t>Fullstack (Django + MongoDB + PostgreSQL + React)</t>
  </si>
  <si>
    <t>RF-03.5</t>
  </si>
  <si>
    <t>Gestión de Páginas Informativas y Legales</t>
  </si>
  <si>
    <t>El panel de administración proveerá un módulo para que el emprendedor cree, edite y publique páginas de texto estáticas. Esto garantizará que la tienda pueda exhibir documentos de cumplimiento legal exigidos por las pasarelas de pago, tales como "Términos y Condiciones", "Políticas de Privacidad" y "Políticas de Reembolso".</t>
  </si>
  <si>
    <t>Dado que el administrador publica una página de "Términos y Condiciones", cuando un visitante navega por la tienda pública, entonces el enlace a dicha página será visible en la estructura de la web (ej. el pie de página) y mostrará el contenido redactado.</t>
  </si>
  <si>
    <t>RF-04.1</t>
  </si>
  <si>
    <t>Gestión de Promociones y Códigos de Descuento</t>
  </si>
  <si>
    <t>El sistema deberá permitir al emprendedor configurar reglas comerciales para incentivar las ventas. Esto incluye la creación de códigos de descuento (con rebajas por porcentaje o monto fijo), la configuración de envío gratuito por compras superiores a un umbral, y la visualización de "precio oferta" (precio original tachado) en el catálogo.</t>
  </si>
  <si>
    <t>Dado que un cliente ingresa un código de descuento válido en su carrito, cuando aplica dicho código en el proceso de checkout, entonces el sistema recalculará el monto a pagar restando el valor configurado en la promoción.</t>
  </si>
  <si>
    <t>RF-04.2</t>
  </si>
  <si>
    <t>Notificaciones Transaccionales Automatizadas</t>
  </si>
  <si>
    <t>El sistema deberá enviar correos electrónicos automáticos al comprador en los hitos fundamentales del ciclo de vida del pedido, con el fin de otorgar seguridad y trazabilidad. Los envíos mínimos obligatorios serán: 1) Confirmación de recepción del pedido (Resumen de compra), 2) Confirmación de pago exitoso (o aviso de rechazo), 3) Notificación de despacho (incluyendo el enlace al portal de seguimiento).</t>
  </si>
  <si>
    <t>Dado que un pedido cambia exitosamente al estado "Pagado", cuando la base de datos registra la actualización, entonces el sistema despachará automáticamente un correo electrónico de confirmación al cliente sin intervención manual.</t>
  </si>
  <si>
    <t>Backend (Django + Servicio SMTP/Email)</t>
  </si>
  <si>
    <t>RF-04.3</t>
  </si>
  <si>
    <t>Configuración de Analítica y SEO Básico</t>
  </si>
  <si>
    <t>El sistema proporcionará herramientas para optimizar la visibilidad y medición de la tienda. A nivel de producto, se habilitarán campos para ingresar metadatos (Meta-título y Meta-descripción). A nivel global, el panel permitirá al emprendedor ingresar identificadores de rastreo (como el ID de Google Analytics o el Pixel de Meta/Facebook) sin necesidad de intervenir el código fuente.</t>
  </si>
  <si>
    <t>Dado que el administrador guarda un ID de Google Analytics en sus configuraciones, cuando un cliente navega por la tienda pública, entonces el sistema inyectará dinámicamente el script de rastreo correspondiente en las vistas del Frontend.</t>
  </si>
  <si>
    <t>RF-04.4</t>
  </si>
  <si>
    <t>Gestión de Privacidad y Consentimiento de Datos</t>
  </si>
  <si>
    <t>El sistema deberá garantizar el cumplimiento de normativas de privacidad y protección de datos (ej. Ley de Protección de Datos, GDPR) mediante la captura del consentimiento explícito del comprador. Esto se implementará a través de dos mecanismos obligatorios en la interfaz pública: 1) Banner de Cookies: Aviso emergente al ingresar a la tienda que permita aceptar o rechazar cookies de seguimiento de terceros; si rechaza o ignora, bloquea proactivamente la inyección de scripts de analítica y marketing (RF-04.3). 2) Consentimiento en Checkout: Casilla de verificación (checkbox) obligatoria, desmarcada por defecto, en el paso final del pago exigiendo aceptación explícita de "Términos y Condiciones" y "Políticas de Privacidad" (RF-03.5) antes de habilitar el botón de procesar compra.</t>
  </si>
  <si>
    <t>Dado que un comprador nuevo ingresa a la tienda y selecciona "Rechazar" en el banner de cookies, cuando navega por el catálogo o el carrito de compras, entonces el Frontend (React) bloqueará la ejecución y no inyectará los identificadores de rastreo (Google Analytics/Meta Pixel) en la sesión del usuario.</t>
  </si>
  <si>
    <t>RNF-01</t>
  </si>
  <si>
    <t>No Funcional</t>
  </si>
  <si>
    <t>Estándares de Calidad, Usabilidad, Accesibilidad y Rendimiento</t>
  </si>
  <si>
    <t>1) Diseño Responsivo: La tienda y el panel de administración deben ser completamente utilizables en dispositivos móviles, tablets y computadoras de escritorio. 2) Accesibilidad: Orientación al cumplimiento de pautas WCAG 2.1 nivel AA. 3) Rendimiento: El catálogo público deberá resolver las solicitudes iniciales en un tiempo inferior a 2,5 segundos bajo condiciones estándar.</t>
  </si>
  <si>
    <t>Pruebas en múltiples resoluciones (móvil, tablet, desktop), auditoría de accesibilidad WCAG 2.1 AA y tiempo de respuesta inicial del catálogo &lt; 2,5 segundos.</t>
  </si>
  <si>
    <t>Sistema / Equipo Técnico</t>
  </si>
  <si>
    <t>RNF-02</t>
  </si>
  <si>
    <t>Arquitectura Hexagonal y Base de Datos Híbrida</t>
  </si>
  <si>
    <t>1) Arquitectura Hexagonal: El código debe estar estructurado en capas (Dominio, Aplicación, Infraestructura) para permitir el fácil recambio o agregación de nuevas pasarelas de pago y logística mediante puertos y adaptadores. 2) Bases de Datos Híbridas: El núcleo transaccional (usuarios, configuraciones, pedidos y facturación) residirá en PostgreSQL. La gestión del catálogo, debido a su naturaleza polimórfica exigida por los múltiples rubros, residirá en MongoDB.</t>
  </si>
  <si>
    <t>Separación estricta de capas (Dominio sin dependencias de frameworks externos), persistencia transaccional en PostgreSQL y persistencia de documentos polimórficos de catálogo en MongoDB.</t>
  </si>
  <si>
    <t>Arquitectura / Base de Datos (PostgreSQL / MongoDB)</t>
  </si>
  <si>
    <t>RNF-03</t>
  </si>
  <si>
    <t>Seguridad (Cifrado HTTPS y Hashing de Contraseñas)</t>
  </si>
  <si>
    <t>1) Cifrado: Toda la comunicación entre cliente, servidor y APIs de pago deberá cursarse por HTTPS (TLS 1.2+). 2) Contraseñas: Almacenamiento mediante algoritmos de hashing fuertes (Argon2 / bcrypt).</t>
  </si>
  <si>
    <t>Tráfico forzado sobre HTTPS (TLS 1.2+) y verificación en base de datos de que todas las contraseñas utilizan Argon2 o bcrypt.</t>
  </si>
  <si>
    <t>Backend (Django) / Seguridad</t>
  </si>
  <si>
    <t>RNF-04</t>
  </si>
  <si>
    <t>Entregables (Manual de Despliegue Técnico)</t>
  </si>
  <si>
    <t>Dado que el equipo no realizará el paso a producción, el software deberá entregarse con un Manual de Despliegue Técnico estructurado. Se proporcionarán las instrucciones necesarias de configuración de variables de entorno y despliegue según el proveedor de hosting que decida el cliente final.</t>
  </si>
  <si>
    <t>Entrega de documento técnico paso a paso validado con variables de entorno, configuración de contenedores/servicios (Django, React, PostgreSQL, MongoDB) y guía para proveedores de hosting.</t>
  </si>
  <si>
    <t>Equipo Técnico / Emprendedor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</si>
</sst>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0.0%"/>
  </numFmts>
  <fonts count="4">
    <font>
      <sz val="10.0"/>
      <color rgb="FF000000"/>
      <name val="Arial"/>
      <scheme val="minor"/>
    </font>
    <font>
      <b/>
      <sz val="11.0"/>
      <color rgb="FFFFFFFF"/>
      <name val="Montserrat"/>
    </font>
    <font>
      <sz val="10.0"/>
      <color rgb="FF181C1F"/>
      <name val="Roboto"/>
    </font>
    <font>
      <color theme="1"/>
      <name val="Arial"/>
      <scheme val="minor"/>
    </font>
  </fonts>
  <fills count="3">
    <fill>
      <patternFill patternType="none"/>
    </fill>
    <fill>
      <patternFill patternType="lightGray"/>
    </fill>
    <fill>
      <patternFill patternType="solid">
        <fgColor rgb="FF3B5F90"/>
        <bgColor rgb="FF3B5F90"/>
      </patternFill>
    </fill>
  </fills>
  <borders count="2">
    <border/>
    <border>
      <left style="thin">
        <color rgb="FF74777E"/>
      </left>
      <right style="thin">
        <color rgb="FF74777E"/>
      </right>
      <top style="thin">
        <color rgb="FF74777E"/>
      </top>
      <bottom style="thin">
        <color rgb="FF74777E"/>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164" xfId="0" applyAlignment="1" applyFont="1" applyNumberFormat="1">
      <alignment readingOrder="0" shrinkToFit="0" vertical="top" wrapText="1"/>
    </xf>
    <xf borderId="1" fillId="2" fontId="1" numFmtId="0" xfId="0" applyAlignment="1" applyBorder="1" applyFill="1" applyFont="1">
      <alignment horizontal="center" readingOrder="0" vertical="center"/>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2" numFmtId="165" xfId="0" applyAlignment="1" applyBorder="1" applyFont="1" applyNumberFormat="1">
      <alignment shrinkToFit="0" vertical="top" wrapText="1"/>
    </xf>
    <xf borderId="0" fillId="0" fontId="2" numFmtId="165" xfId="0" applyAlignment="1" applyFont="1" applyNumberFormat="1">
      <alignment shrinkToFit="0" vertical="top" wrapText="1"/>
    </xf>
    <xf borderId="0" fillId="0" fontId="3" numFmtId="0" xfId="0" applyFont="1"/>
    <xf borderId="0" fillId="0" fontId="3" numFmtId="165" xfId="0" applyFont="1" applyNumberFormat="1"/>
  </cellXfs>
  <cellStyles count="1">
    <cellStyle xfId="0" name="Normal" builtinId="0"/>
  </cellStyles>
  <dxfs count="3">
    <dxf>
      <font/>
      <fill>
        <patternFill patternType="none"/>
      </fill>
      <border/>
    </dxf>
    <dxf>
      <font/>
      <fill>
        <patternFill patternType="solid">
          <fgColor rgb="FFF8F8FF"/>
          <bgColor rgb="FFF8F8FF"/>
        </patternFill>
      </fill>
      <border/>
    </dxf>
    <dxf>
      <font/>
      <fill>
        <patternFill patternType="solid">
          <fgColor rgb="FFFFFFFF"/>
          <bgColor rgb="FFFFFFFF"/>
        </patternFill>
      </fill>
      <border/>
    </dxf>
  </dxfs>
  <tableStyles count="2">
    <tableStyle count="2" pivot="0" name="Product Backlog-style">
      <tableStyleElement dxfId="1" type="firstRowStripe"/>
      <tableStyleElement dxfId="2" type="secondRowStripe"/>
    </tableStyle>
    <tableStyle count="2" pivot="0" name="Planificación de Sprint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O26"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roduct Backlog-style" showColumnStripes="0" showFirstColumn="1" showLastColumn="1" showRowStripes="1"/>
</table>
</file>

<file path=xl/tables/table2.xml><?xml version="1.0" encoding="utf-8"?>
<table xmlns="http://schemas.openxmlformats.org/spreadsheetml/2006/main" headerRowCount="0" ref="A2:G5"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Planificación de Sprin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43.88"/>
    <col customWidth="1" min="3" max="3" width="6.38"/>
    <col customWidth="1" min="4" max="4" width="31.38"/>
    <col customWidth="1" min="5" max="5" width="12.63"/>
    <col customWidth="1" min="6" max="6" width="6.38"/>
    <col customWidth="1" min="7" max="7" width="31.38"/>
    <col customWidth="1" min="8" max="8" width="12.63"/>
  </cols>
  <sheetData>
    <row r="1">
      <c r="A1" s="1" t="s">
        <v>0</v>
      </c>
      <c r="C1" s="2"/>
      <c r="D1" s="2"/>
      <c r="E1" s="2"/>
      <c r="F1" s="2"/>
      <c r="G1" s="2"/>
      <c r="H1" s="2"/>
    </row>
    <row r="2">
      <c r="A2" s="3" t="s">
        <v>1</v>
      </c>
      <c r="B2" s="3" t="s">
        <v>2</v>
      </c>
      <c r="C2" s="2"/>
      <c r="D2" s="2"/>
      <c r="E2" s="2"/>
      <c r="F2" s="2"/>
      <c r="G2" s="2"/>
      <c r="H2" s="2"/>
    </row>
    <row r="3">
      <c r="A3" s="3" t="s">
        <v>3</v>
      </c>
      <c r="B3" s="4">
        <v>46058.0</v>
      </c>
      <c r="C3" s="2"/>
      <c r="D3" s="2"/>
      <c r="E3" s="2"/>
      <c r="F3" s="2"/>
      <c r="G3" s="2"/>
      <c r="H3" s="2"/>
    </row>
    <row r="4">
      <c r="A4" s="3" t="s">
        <v>4</v>
      </c>
      <c r="B4" s="3" t="s">
        <v>5</v>
      </c>
      <c r="C4" s="2"/>
      <c r="D4" s="2"/>
      <c r="E4" s="2"/>
      <c r="F4" s="2"/>
      <c r="G4" s="2"/>
      <c r="H4" s="2"/>
    </row>
    <row r="5">
      <c r="A5" s="3" t="s">
        <v>6</v>
      </c>
      <c r="B5" s="3" t="s">
        <v>7</v>
      </c>
      <c r="C5" s="2"/>
      <c r="D5" s="2"/>
      <c r="E5" s="2"/>
      <c r="F5" s="2"/>
      <c r="G5" s="2"/>
      <c r="H5" s="2"/>
    </row>
    <row r="6">
      <c r="A6" s="3" t="s">
        <v>8</v>
      </c>
      <c r="B6" s="3" t="s">
        <v>9</v>
      </c>
      <c r="C6" s="2"/>
      <c r="D6" s="2"/>
      <c r="E6" s="2"/>
      <c r="F6" s="2"/>
      <c r="G6" s="2"/>
      <c r="H6" s="2"/>
    </row>
    <row r="7">
      <c r="A7" s="2"/>
      <c r="B7" s="2"/>
      <c r="C7" s="2"/>
      <c r="D7" s="2"/>
      <c r="E7" s="2"/>
      <c r="F7" s="2"/>
      <c r="G7" s="2"/>
      <c r="H7" s="2"/>
    </row>
    <row r="8">
      <c r="A8" s="1" t="s">
        <v>11</v>
      </c>
      <c r="C8" s="2"/>
      <c r="D8" s="1" t="s">
        <v>12</v>
      </c>
      <c r="F8" s="2"/>
      <c r="G8" s="1" t="s">
        <v>14</v>
      </c>
    </row>
    <row r="9">
      <c r="A9" s="3" t="s">
        <v>15</v>
      </c>
      <c r="B9" s="2">
        <f>COUNTA('Product Backlog'!A2:A100)</f>
        <v>25</v>
      </c>
      <c r="C9" s="2"/>
      <c r="D9" s="3" t="s">
        <v>64</v>
      </c>
      <c r="E9" s="2">
        <f>COUNTIF('Product Backlog'!L:L, "Por Hacer")</f>
        <v>25</v>
      </c>
      <c r="F9" s="2"/>
      <c r="G9" s="3" t="s">
        <v>77</v>
      </c>
      <c r="H9" s="2">
        <f>COUNTIF('Product Backlog'!I:I, "Alta")</f>
        <v>21</v>
      </c>
    </row>
    <row r="10">
      <c r="A10" s="3" t="s">
        <v>78</v>
      </c>
      <c r="B10" s="2">
        <f>SUM('Product Backlog'!J2:J100)</f>
        <v>136</v>
      </c>
      <c r="C10" s="2"/>
      <c r="D10" s="3" t="s">
        <v>79</v>
      </c>
      <c r="E10" s="2">
        <f>COUNTIF('Product Backlog'!L:L, "En Progreso")</f>
        <v>0</v>
      </c>
      <c r="F10" s="2"/>
      <c r="G10" s="3" t="s">
        <v>80</v>
      </c>
      <c r="H10" s="2">
        <f>COUNTIF('Product Backlog'!I:I, "Media")</f>
        <v>4</v>
      </c>
    </row>
    <row r="11">
      <c r="A11" s="3" t="s">
        <v>81</v>
      </c>
      <c r="B11" s="2">
        <f>SUMIFS('Product Backlog'!J2:J100, 'Product Backlog'!L2:L100, "Completado")</f>
        <v>0</v>
      </c>
      <c r="C11" s="2"/>
      <c r="D11" s="3" t="s">
        <v>84</v>
      </c>
      <c r="E11" s="2">
        <f>COUNTIF('Product Backlog'!L:L, "En Revisión / QA")</f>
        <v>0</v>
      </c>
      <c r="F11" s="2"/>
      <c r="G11" s="3" t="s">
        <v>86</v>
      </c>
      <c r="H11" s="2">
        <f>COUNTIF('Product Backlog'!I:I, "Baja")</f>
        <v>0</v>
      </c>
    </row>
    <row r="12">
      <c r="A12" s="3" t="s">
        <v>93</v>
      </c>
      <c r="B12" s="9">
        <f>IFERROR(B11/B10, 0)</f>
        <v>0</v>
      </c>
      <c r="C12" s="2"/>
      <c r="D12" s="3" t="s">
        <v>99</v>
      </c>
      <c r="E12" s="2">
        <f>COUNTIF('Product Backlog'!L:L, "Completado")</f>
        <v>0</v>
      </c>
      <c r="F12" s="2"/>
      <c r="G12" s="2"/>
      <c r="H12" s="2"/>
    </row>
    <row r="13">
      <c r="A13" s="2"/>
      <c r="B13" s="2"/>
      <c r="C13" s="2"/>
      <c r="D13" s="3" t="s">
        <v>103</v>
      </c>
      <c r="E13" s="2">
        <f>COUNTIF('Product Backlog'!L:L, "Bloqueado")</f>
        <v>0</v>
      </c>
      <c r="F13" s="2"/>
      <c r="G13" s="2"/>
      <c r="H13" s="2"/>
    </row>
    <row r="14">
      <c r="A14" s="2"/>
      <c r="B14" s="2"/>
      <c r="C14" s="2"/>
      <c r="D14" s="2"/>
      <c r="E14" s="2"/>
      <c r="F14" s="2"/>
      <c r="G14" s="2"/>
      <c r="H14" s="2"/>
    </row>
    <row r="15">
      <c r="A15" s="2"/>
      <c r="B15" s="2"/>
      <c r="C15" s="2"/>
      <c r="D15" s="1" t="s">
        <v>106</v>
      </c>
      <c r="F15" s="2"/>
      <c r="G15" s="1" t="s">
        <v>107</v>
      </c>
    </row>
    <row r="16">
      <c r="A16" s="2"/>
      <c r="B16" s="2"/>
      <c r="C16" s="2"/>
      <c r="D16" s="3" t="s">
        <v>109</v>
      </c>
      <c r="E16" s="2">
        <f>COUNTIF('Product Backlog'!H:H, "*Fullstack*")</f>
        <v>11</v>
      </c>
      <c r="F16" s="2"/>
      <c r="G16" s="3" t="s">
        <v>68</v>
      </c>
      <c r="H16" s="2">
        <f>COUNTIF('Product Backlog'!C:C, "RN - Reglas de Negocio")</f>
        <v>4</v>
      </c>
    </row>
    <row r="17">
      <c r="A17" s="2"/>
      <c r="B17" s="2"/>
      <c r="C17" s="2"/>
      <c r="D17" s="3" t="s">
        <v>76</v>
      </c>
      <c r="E17" s="2">
        <f>COUNTIF('Product Backlog'!H:H, "*Frontend*")</f>
        <v>7</v>
      </c>
      <c r="F17" s="2"/>
      <c r="G17" s="3" t="s">
        <v>115</v>
      </c>
      <c r="H17" s="2">
        <f>COUNTIF('Product Backlog'!C:C, "RF-01: Catálogo y Personalización")</f>
        <v>4</v>
      </c>
    </row>
    <row r="18">
      <c r="A18" s="2"/>
      <c r="B18" s="2"/>
      <c r="C18" s="2"/>
      <c r="D18" s="3" t="s">
        <v>131</v>
      </c>
      <c r="E18" s="2">
        <f>COUNTIF('Product Backlog'!H:H, "*Backend*")</f>
        <v>11</v>
      </c>
      <c r="F18" s="2"/>
      <c r="G18" s="3" t="s">
        <v>135</v>
      </c>
      <c r="H18" s="2">
        <f>COUNTIF('Product Backlog'!C:C, "RF-02: Carrito, Pagos y Logística")</f>
        <v>4</v>
      </c>
    </row>
    <row r="19">
      <c r="A19" s="2"/>
      <c r="B19" s="2"/>
      <c r="C19" s="2"/>
      <c r="D19" s="3" t="s">
        <v>138</v>
      </c>
      <c r="E19" s="2">
        <f>COUNTIF('Product Backlog'!H:H, "*MongoDB*") + COUNTIF('Product Backlog'!H:H, "*PostgreSQL*")</f>
        <v>16</v>
      </c>
      <c r="F19" s="2"/>
      <c r="G19" s="3" t="s">
        <v>153</v>
      </c>
      <c r="H19" s="2">
        <f>COUNTIF('Product Backlog'!C:C, "RF-03: Administración (Backoffice)")</f>
        <v>5</v>
      </c>
    </row>
    <row r="20">
      <c r="A20" s="2"/>
      <c r="B20" s="2"/>
      <c r="C20" s="2"/>
      <c r="D20" s="3" t="s">
        <v>160</v>
      </c>
      <c r="E20" s="2">
        <f>COUNTIF('Product Backlog'!H:H, "*Arquitectura*")</f>
        <v>2</v>
      </c>
      <c r="F20" s="2"/>
      <c r="G20" s="3" t="s">
        <v>164</v>
      </c>
      <c r="H20" s="2">
        <f>COUNTIF('Product Backlog'!C:C, "RF-04: Marketing, Operaciones y SEO")</f>
        <v>4</v>
      </c>
    </row>
    <row r="21">
      <c r="A21" s="2"/>
      <c r="B21" s="2"/>
      <c r="C21" s="2"/>
      <c r="D21" s="2"/>
      <c r="E21" s="2"/>
      <c r="F21" s="2"/>
      <c r="G21" s="3" t="s">
        <v>170</v>
      </c>
      <c r="H21" s="2">
        <f>COUNTIF('Product Backlog'!C:C, "RNF: Requerimientos No Funcionales")</f>
        <v>4</v>
      </c>
    </row>
  </sheetData>
  <mergeCells count="6">
    <mergeCell ref="A1:B1"/>
    <mergeCell ref="A8:B8"/>
    <mergeCell ref="D8:E8"/>
    <mergeCell ref="G8:H8"/>
    <mergeCell ref="D15:E15"/>
    <mergeCell ref="G15:H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4" max="4" width="31.38"/>
    <col customWidth="1" min="5" max="6" width="43.88"/>
    <col customWidth="1" min="8" max="8" width="25.13"/>
    <col customWidth="1" min="15" max="15" width="25.13"/>
  </cols>
  <sheetData>
    <row r="1">
      <c r="A1" s="5" t="s">
        <v>19</v>
      </c>
      <c r="B1" s="5" t="s">
        <v>21</v>
      </c>
      <c r="C1" s="5" t="s">
        <v>29</v>
      </c>
      <c r="D1" s="5" t="s">
        <v>32</v>
      </c>
      <c r="E1" s="5" t="s">
        <v>34</v>
      </c>
      <c r="F1" s="5" t="s">
        <v>37</v>
      </c>
      <c r="G1" s="5" t="s">
        <v>40</v>
      </c>
      <c r="H1" s="5" t="s">
        <v>41</v>
      </c>
      <c r="I1" s="5" t="s">
        <v>44</v>
      </c>
      <c r="J1" s="5" t="s">
        <v>45</v>
      </c>
      <c r="K1" s="5" t="s">
        <v>47</v>
      </c>
      <c r="L1" s="5" t="s">
        <v>50</v>
      </c>
      <c r="M1" s="5" t="s">
        <v>51</v>
      </c>
      <c r="N1" s="5" t="s">
        <v>52</v>
      </c>
      <c r="O1" s="5" t="s">
        <v>54</v>
      </c>
    </row>
    <row r="2">
      <c r="A2" s="6" t="s">
        <v>62</v>
      </c>
      <c r="B2" s="6" t="s">
        <v>66</v>
      </c>
      <c r="C2" s="6" t="s">
        <v>68</v>
      </c>
      <c r="D2" s="6" t="s">
        <v>70</v>
      </c>
      <c r="E2" s="6" t="s">
        <v>72</v>
      </c>
      <c r="F2" s="6" t="s">
        <v>74</v>
      </c>
      <c r="G2" s="6" t="s">
        <v>75</v>
      </c>
      <c r="H2" s="6" t="s">
        <v>76</v>
      </c>
      <c r="I2" s="6" t="s">
        <v>77</v>
      </c>
      <c r="J2" s="6">
        <v>2.0</v>
      </c>
      <c r="K2" s="6" t="s">
        <v>43</v>
      </c>
      <c r="L2" s="6" t="s">
        <v>64</v>
      </c>
      <c r="M2" s="8">
        <f t="shared" ref="M2:M26" si="1">IF(L2="Completado", 1, IF(L2="En Revisión / QA", 0.8, IF(L2="En Progreso", 0.4, 0)))</f>
        <v>0</v>
      </c>
      <c r="N2" s="6" t="s">
        <v>85</v>
      </c>
      <c r="O2" s="7"/>
    </row>
    <row r="3">
      <c r="A3" s="6" t="s">
        <v>87</v>
      </c>
      <c r="B3" s="6" t="s">
        <v>66</v>
      </c>
      <c r="C3" s="6" t="s">
        <v>68</v>
      </c>
      <c r="D3" s="6" t="s">
        <v>88</v>
      </c>
      <c r="E3" s="6" t="s">
        <v>89</v>
      </c>
      <c r="F3" s="6" t="s">
        <v>90</v>
      </c>
      <c r="G3" s="6" t="s">
        <v>91</v>
      </c>
      <c r="H3" s="6" t="s">
        <v>92</v>
      </c>
      <c r="I3" s="6" t="s">
        <v>77</v>
      </c>
      <c r="J3" s="6">
        <v>5.0</v>
      </c>
      <c r="K3" s="6" t="s">
        <v>94</v>
      </c>
      <c r="L3" s="6" t="s">
        <v>64</v>
      </c>
      <c r="M3" s="8">
        <f t="shared" si="1"/>
        <v>0</v>
      </c>
      <c r="N3" s="6" t="s">
        <v>85</v>
      </c>
      <c r="O3" s="7"/>
    </row>
    <row r="4">
      <c r="A4" s="6" t="s">
        <v>96</v>
      </c>
      <c r="B4" s="6" t="s">
        <v>66</v>
      </c>
      <c r="C4" s="6" t="s">
        <v>68</v>
      </c>
      <c r="D4" s="6" t="s">
        <v>97</v>
      </c>
      <c r="E4" s="6" t="s">
        <v>98</v>
      </c>
      <c r="F4" s="6" t="s">
        <v>100</v>
      </c>
      <c r="G4" s="6" t="s">
        <v>101</v>
      </c>
      <c r="H4" s="6" t="s">
        <v>102</v>
      </c>
      <c r="I4" s="6" t="s">
        <v>77</v>
      </c>
      <c r="J4" s="6">
        <v>5.0</v>
      </c>
      <c r="K4" s="6" t="s">
        <v>82</v>
      </c>
      <c r="L4" s="6" t="s">
        <v>64</v>
      </c>
      <c r="M4" s="8">
        <f t="shared" si="1"/>
        <v>0</v>
      </c>
      <c r="N4" s="6" t="s">
        <v>85</v>
      </c>
      <c r="O4" s="7"/>
    </row>
    <row r="5">
      <c r="A5" s="6" t="s">
        <v>108</v>
      </c>
      <c r="B5" s="6" t="s">
        <v>66</v>
      </c>
      <c r="C5" s="6" t="s">
        <v>68</v>
      </c>
      <c r="D5" s="6" t="s">
        <v>110</v>
      </c>
      <c r="E5" s="6" t="s">
        <v>111</v>
      </c>
      <c r="F5" s="6" t="s">
        <v>112</v>
      </c>
      <c r="G5" s="6" t="s">
        <v>91</v>
      </c>
      <c r="H5" s="6" t="s">
        <v>92</v>
      </c>
      <c r="I5" s="6" t="s">
        <v>77</v>
      </c>
      <c r="J5" s="6">
        <v>5.0</v>
      </c>
      <c r="K5" s="6" t="s">
        <v>94</v>
      </c>
      <c r="L5" s="6" t="s">
        <v>64</v>
      </c>
      <c r="M5" s="8">
        <f t="shared" si="1"/>
        <v>0</v>
      </c>
      <c r="N5" s="6" t="s">
        <v>85</v>
      </c>
      <c r="O5" s="7"/>
    </row>
    <row r="6">
      <c r="A6" s="6" t="s">
        <v>113</v>
      </c>
      <c r="B6" s="6" t="s">
        <v>114</v>
      </c>
      <c r="C6" s="6" t="s">
        <v>115</v>
      </c>
      <c r="D6" s="6" t="s">
        <v>116</v>
      </c>
      <c r="E6" s="6" t="s">
        <v>117</v>
      </c>
      <c r="F6" s="6" t="s">
        <v>118</v>
      </c>
      <c r="G6" s="6" t="s">
        <v>119</v>
      </c>
      <c r="H6" s="6" t="s">
        <v>120</v>
      </c>
      <c r="I6" s="6" t="s">
        <v>80</v>
      </c>
      <c r="J6" s="6">
        <v>3.0</v>
      </c>
      <c r="K6" s="6" t="s">
        <v>43</v>
      </c>
      <c r="L6" s="6" t="s">
        <v>64</v>
      </c>
      <c r="M6" s="8">
        <f t="shared" si="1"/>
        <v>0</v>
      </c>
      <c r="N6" s="6" t="s">
        <v>85</v>
      </c>
      <c r="O6" s="7"/>
    </row>
    <row r="7">
      <c r="A7" s="6" t="s">
        <v>121</v>
      </c>
      <c r="B7" s="6" t="s">
        <v>114</v>
      </c>
      <c r="C7" s="6" t="s">
        <v>115</v>
      </c>
      <c r="D7" s="6" t="s">
        <v>122</v>
      </c>
      <c r="E7" s="6" t="s">
        <v>123</v>
      </c>
      <c r="F7" s="6" t="s">
        <v>124</v>
      </c>
      <c r="G7" s="6" t="s">
        <v>125</v>
      </c>
      <c r="H7" s="6" t="s">
        <v>120</v>
      </c>
      <c r="I7" s="6" t="s">
        <v>77</v>
      </c>
      <c r="J7" s="6">
        <v>5.0</v>
      </c>
      <c r="K7" s="6" t="s">
        <v>43</v>
      </c>
      <c r="L7" s="6" t="s">
        <v>64</v>
      </c>
      <c r="M7" s="8">
        <f t="shared" si="1"/>
        <v>0</v>
      </c>
      <c r="N7" s="6" t="s">
        <v>85</v>
      </c>
      <c r="O7" s="7"/>
    </row>
    <row r="8">
      <c r="A8" s="6" t="s">
        <v>126</v>
      </c>
      <c r="B8" s="6" t="s">
        <v>114</v>
      </c>
      <c r="C8" s="6" t="s">
        <v>115</v>
      </c>
      <c r="D8" s="6" t="s">
        <v>127</v>
      </c>
      <c r="E8" s="6" t="s">
        <v>128</v>
      </c>
      <c r="F8" s="6" t="s">
        <v>129</v>
      </c>
      <c r="G8" s="6" t="s">
        <v>119</v>
      </c>
      <c r="H8" s="6" t="s">
        <v>130</v>
      </c>
      <c r="I8" s="6" t="s">
        <v>77</v>
      </c>
      <c r="J8" s="6">
        <v>8.0</v>
      </c>
      <c r="K8" s="6" t="s">
        <v>43</v>
      </c>
      <c r="L8" s="6" t="s">
        <v>64</v>
      </c>
      <c r="M8" s="8">
        <f t="shared" si="1"/>
        <v>0</v>
      </c>
      <c r="N8" s="6" t="s">
        <v>85</v>
      </c>
      <c r="O8" s="7"/>
    </row>
    <row r="9">
      <c r="A9" s="6" t="s">
        <v>132</v>
      </c>
      <c r="B9" s="6" t="s">
        <v>114</v>
      </c>
      <c r="C9" s="6" t="s">
        <v>115</v>
      </c>
      <c r="D9" s="6" t="s">
        <v>133</v>
      </c>
      <c r="E9" s="6" t="s">
        <v>134</v>
      </c>
      <c r="F9" s="6" t="s">
        <v>136</v>
      </c>
      <c r="G9" s="6" t="s">
        <v>91</v>
      </c>
      <c r="H9" s="6" t="s">
        <v>120</v>
      </c>
      <c r="I9" s="6" t="s">
        <v>77</v>
      </c>
      <c r="J9" s="6">
        <v>3.0</v>
      </c>
      <c r="K9" s="6" t="s">
        <v>43</v>
      </c>
      <c r="L9" s="6" t="s">
        <v>64</v>
      </c>
      <c r="M9" s="8">
        <f t="shared" si="1"/>
        <v>0</v>
      </c>
      <c r="N9" s="6" t="s">
        <v>85</v>
      </c>
      <c r="O9" s="7"/>
    </row>
    <row r="10">
      <c r="A10" s="6" t="s">
        <v>137</v>
      </c>
      <c r="B10" s="6" t="s">
        <v>114</v>
      </c>
      <c r="C10" s="6" t="s">
        <v>135</v>
      </c>
      <c r="D10" s="6" t="s">
        <v>139</v>
      </c>
      <c r="E10" s="6" t="s">
        <v>140</v>
      </c>
      <c r="F10" s="6" t="s">
        <v>141</v>
      </c>
      <c r="G10" s="6" t="s">
        <v>119</v>
      </c>
      <c r="H10" s="6" t="s">
        <v>142</v>
      </c>
      <c r="I10" s="6" t="s">
        <v>77</v>
      </c>
      <c r="J10" s="6">
        <v>8.0</v>
      </c>
      <c r="K10" s="6" t="s">
        <v>94</v>
      </c>
      <c r="L10" s="6" t="s">
        <v>64</v>
      </c>
      <c r="M10" s="8">
        <f t="shared" si="1"/>
        <v>0</v>
      </c>
      <c r="N10" s="6" t="s">
        <v>85</v>
      </c>
      <c r="O10" s="7"/>
    </row>
    <row r="11">
      <c r="A11" s="6" t="s">
        <v>143</v>
      </c>
      <c r="B11" s="6" t="s">
        <v>114</v>
      </c>
      <c r="C11" s="6" t="s">
        <v>135</v>
      </c>
      <c r="D11" s="6" t="s">
        <v>144</v>
      </c>
      <c r="E11" s="6" t="s">
        <v>145</v>
      </c>
      <c r="F11" s="6" t="s">
        <v>146</v>
      </c>
      <c r="G11" s="6" t="s">
        <v>119</v>
      </c>
      <c r="H11" s="6" t="s">
        <v>147</v>
      </c>
      <c r="I11" s="6" t="s">
        <v>77</v>
      </c>
      <c r="J11" s="6">
        <v>13.0</v>
      </c>
      <c r="K11" s="6" t="s">
        <v>94</v>
      </c>
      <c r="L11" s="6" t="s">
        <v>64</v>
      </c>
      <c r="M11" s="8">
        <f t="shared" si="1"/>
        <v>0</v>
      </c>
      <c r="N11" s="6" t="s">
        <v>85</v>
      </c>
      <c r="O11" s="7"/>
    </row>
    <row r="12">
      <c r="A12" s="6" t="s">
        <v>148</v>
      </c>
      <c r="B12" s="6" t="s">
        <v>114</v>
      </c>
      <c r="C12" s="6" t="s">
        <v>135</v>
      </c>
      <c r="D12" s="6" t="s">
        <v>149</v>
      </c>
      <c r="E12" s="6" t="s">
        <v>150</v>
      </c>
      <c r="F12" s="6" t="s">
        <v>151</v>
      </c>
      <c r="G12" s="6" t="s">
        <v>119</v>
      </c>
      <c r="H12" s="6" t="s">
        <v>152</v>
      </c>
      <c r="I12" s="6" t="s">
        <v>77</v>
      </c>
      <c r="J12" s="6">
        <v>8.0</v>
      </c>
      <c r="K12" s="6" t="s">
        <v>94</v>
      </c>
      <c r="L12" s="6" t="s">
        <v>64</v>
      </c>
      <c r="M12" s="8">
        <f t="shared" si="1"/>
        <v>0</v>
      </c>
      <c r="N12" s="6" t="s">
        <v>85</v>
      </c>
      <c r="O12" s="7"/>
    </row>
    <row r="13">
      <c r="A13" s="6" t="s">
        <v>154</v>
      </c>
      <c r="B13" s="6" t="s">
        <v>114</v>
      </c>
      <c r="C13" s="6" t="s">
        <v>135</v>
      </c>
      <c r="D13" s="6" t="s">
        <v>155</v>
      </c>
      <c r="E13" s="6" t="s">
        <v>156</v>
      </c>
      <c r="F13" s="6" t="s">
        <v>157</v>
      </c>
      <c r="G13" s="6" t="s">
        <v>158</v>
      </c>
      <c r="H13" s="6" t="s">
        <v>159</v>
      </c>
      <c r="I13" s="6" t="s">
        <v>77</v>
      </c>
      <c r="J13" s="6">
        <v>8.0</v>
      </c>
      <c r="K13" s="6" t="s">
        <v>94</v>
      </c>
      <c r="L13" s="6" t="s">
        <v>64</v>
      </c>
      <c r="M13" s="8">
        <f t="shared" si="1"/>
        <v>0</v>
      </c>
      <c r="N13" s="6" t="s">
        <v>85</v>
      </c>
      <c r="O13" s="7"/>
    </row>
    <row r="14">
      <c r="A14" s="6" t="s">
        <v>161</v>
      </c>
      <c r="B14" s="6" t="s">
        <v>114</v>
      </c>
      <c r="C14" s="6" t="s">
        <v>153</v>
      </c>
      <c r="D14" s="6" t="s">
        <v>162</v>
      </c>
      <c r="E14" s="6" t="s">
        <v>163</v>
      </c>
      <c r="F14" s="6" t="s">
        <v>165</v>
      </c>
      <c r="G14" s="6" t="s">
        <v>125</v>
      </c>
      <c r="H14" s="6" t="s">
        <v>166</v>
      </c>
      <c r="I14" s="6" t="s">
        <v>80</v>
      </c>
      <c r="J14" s="6">
        <v>5.0</v>
      </c>
      <c r="K14" s="6" t="s">
        <v>82</v>
      </c>
      <c r="L14" s="6" t="s">
        <v>64</v>
      </c>
      <c r="M14" s="8">
        <f t="shared" si="1"/>
        <v>0</v>
      </c>
      <c r="N14" s="6" t="s">
        <v>85</v>
      </c>
      <c r="O14" s="7"/>
    </row>
    <row r="15">
      <c r="A15" s="6" t="s">
        <v>167</v>
      </c>
      <c r="B15" s="6" t="s">
        <v>114</v>
      </c>
      <c r="C15" s="6" t="s">
        <v>153</v>
      </c>
      <c r="D15" s="6" t="s">
        <v>168</v>
      </c>
      <c r="E15" s="6" t="s">
        <v>169</v>
      </c>
      <c r="F15" s="6" t="s">
        <v>171</v>
      </c>
      <c r="G15" s="6" t="s">
        <v>125</v>
      </c>
      <c r="H15" s="6" t="s">
        <v>172</v>
      </c>
      <c r="I15" s="6" t="s">
        <v>77</v>
      </c>
      <c r="J15" s="6">
        <v>5.0</v>
      </c>
      <c r="K15" s="6" t="s">
        <v>82</v>
      </c>
      <c r="L15" s="6" t="s">
        <v>64</v>
      </c>
      <c r="M15" s="8">
        <f t="shared" si="1"/>
        <v>0</v>
      </c>
      <c r="N15" s="6" t="s">
        <v>85</v>
      </c>
      <c r="O15" s="7"/>
    </row>
    <row r="16">
      <c r="A16" s="6" t="s">
        <v>173</v>
      </c>
      <c r="B16" s="6" t="s">
        <v>114</v>
      </c>
      <c r="C16" s="6" t="s">
        <v>153</v>
      </c>
      <c r="D16" s="6" t="s">
        <v>174</v>
      </c>
      <c r="E16" s="6" t="s">
        <v>175</v>
      </c>
      <c r="F16" s="6" t="s">
        <v>176</v>
      </c>
      <c r="G16" s="6" t="s">
        <v>125</v>
      </c>
      <c r="H16" s="6" t="s">
        <v>166</v>
      </c>
      <c r="I16" s="6" t="s">
        <v>77</v>
      </c>
      <c r="J16" s="6">
        <v>5.0</v>
      </c>
      <c r="K16" s="6" t="s">
        <v>82</v>
      </c>
      <c r="L16" s="6" t="s">
        <v>64</v>
      </c>
      <c r="M16" s="8">
        <f t="shared" si="1"/>
        <v>0</v>
      </c>
      <c r="N16" s="6" t="s">
        <v>85</v>
      </c>
      <c r="O16" s="7"/>
    </row>
    <row r="17">
      <c r="A17" s="6" t="s">
        <v>177</v>
      </c>
      <c r="B17" s="6" t="s">
        <v>114</v>
      </c>
      <c r="C17" s="6" t="s">
        <v>153</v>
      </c>
      <c r="D17" s="6" t="s">
        <v>178</v>
      </c>
      <c r="E17" s="6" t="s">
        <v>179</v>
      </c>
      <c r="F17" s="6" t="s">
        <v>180</v>
      </c>
      <c r="G17" s="6" t="s">
        <v>91</v>
      </c>
      <c r="H17" s="6" t="s">
        <v>181</v>
      </c>
      <c r="I17" s="6" t="s">
        <v>77</v>
      </c>
      <c r="J17" s="6">
        <v>8.0</v>
      </c>
      <c r="K17" s="6" t="s">
        <v>82</v>
      </c>
      <c r="L17" s="6" t="s">
        <v>64</v>
      </c>
      <c r="M17" s="8">
        <f t="shared" si="1"/>
        <v>0</v>
      </c>
      <c r="N17" s="6" t="s">
        <v>85</v>
      </c>
      <c r="O17" s="7"/>
    </row>
    <row r="18">
      <c r="A18" s="6" t="s">
        <v>182</v>
      </c>
      <c r="B18" s="6" t="s">
        <v>114</v>
      </c>
      <c r="C18" s="6" t="s">
        <v>153</v>
      </c>
      <c r="D18" s="6" t="s">
        <v>183</v>
      </c>
      <c r="E18" s="6" t="s">
        <v>184</v>
      </c>
      <c r="F18" s="6" t="s">
        <v>185</v>
      </c>
      <c r="G18" s="6" t="s">
        <v>91</v>
      </c>
      <c r="H18" s="6" t="s">
        <v>166</v>
      </c>
      <c r="I18" s="6" t="s">
        <v>77</v>
      </c>
      <c r="J18" s="6">
        <v>3.0</v>
      </c>
      <c r="K18" s="6" t="s">
        <v>82</v>
      </c>
      <c r="L18" s="6" t="s">
        <v>64</v>
      </c>
      <c r="M18" s="8">
        <f t="shared" si="1"/>
        <v>0</v>
      </c>
      <c r="N18" s="6" t="s">
        <v>85</v>
      </c>
      <c r="O18" s="7"/>
    </row>
    <row r="19">
      <c r="A19" s="6" t="s">
        <v>186</v>
      </c>
      <c r="B19" s="6" t="s">
        <v>114</v>
      </c>
      <c r="C19" s="6" t="s">
        <v>164</v>
      </c>
      <c r="D19" s="6" t="s">
        <v>187</v>
      </c>
      <c r="E19" s="6" t="s">
        <v>188</v>
      </c>
      <c r="F19" s="6" t="s">
        <v>189</v>
      </c>
      <c r="G19" s="6" t="s">
        <v>91</v>
      </c>
      <c r="H19" s="6" t="s">
        <v>166</v>
      </c>
      <c r="I19" s="6" t="s">
        <v>80</v>
      </c>
      <c r="J19" s="6">
        <v>5.0</v>
      </c>
      <c r="K19" s="6" t="s">
        <v>104</v>
      </c>
      <c r="L19" s="6" t="s">
        <v>64</v>
      </c>
      <c r="M19" s="8">
        <f t="shared" si="1"/>
        <v>0</v>
      </c>
      <c r="N19" s="6" t="s">
        <v>85</v>
      </c>
      <c r="O19" s="7"/>
    </row>
    <row r="20">
      <c r="A20" s="6" t="s">
        <v>190</v>
      </c>
      <c r="B20" s="6" t="s">
        <v>114</v>
      </c>
      <c r="C20" s="6" t="s">
        <v>164</v>
      </c>
      <c r="D20" s="6" t="s">
        <v>191</v>
      </c>
      <c r="E20" s="6" t="s">
        <v>192</v>
      </c>
      <c r="F20" s="6" t="s">
        <v>193</v>
      </c>
      <c r="G20" s="6" t="s">
        <v>101</v>
      </c>
      <c r="H20" s="6" t="s">
        <v>194</v>
      </c>
      <c r="I20" s="6" t="s">
        <v>77</v>
      </c>
      <c r="J20" s="6">
        <v>5.0</v>
      </c>
      <c r="K20" s="6" t="s">
        <v>104</v>
      </c>
      <c r="L20" s="6" t="s">
        <v>64</v>
      </c>
      <c r="M20" s="8">
        <f t="shared" si="1"/>
        <v>0</v>
      </c>
      <c r="N20" s="6" t="s">
        <v>85</v>
      </c>
      <c r="O20" s="7"/>
    </row>
    <row r="21">
      <c r="A21" s="6" t="s">
        <v>195</v>
      </c>
      <c r="B21" s="6" t="s">
        <v>114</v>
      </c>
      <c r="C21" s="6" t="s">
        <v>164</v>
      </c>
      <c r="D21" s="6" t="s">
        <v>196</v>
      </c>
      <c r="E21" s="6" t="s">
        <v>197</v>
      </c>
      <c r="F21" s="6" t="s">
        <v>198</v>
      </c>
      <c r="G21" s="6" t="s">
        <v>125</v>
      </c>
      <c r="H21" s="6" t="s">
        <v>120</v>
      </c>
      <c r="I21" s="6" t="s">
        <v>80</v>
      </c>
      <c r="J21" s="6">
        <v>3.0</v>
      </c>
      <c r="K21" s="6" t="s">
        <v>104</v>
      </c>
      <c r="L21" s="6" t="s">
        <v>64</v>
      </c>
      <c r="M21" s="8">
        <f t="shared" si="1"/>
        <v>0</v>
      </c>
      <c r="N21" s="6" t="s">
        <v>85</v>
      </c>
      <c r="O21" s="7"/>
    </row>
    <row r="22">
      <c r="A22" s="6" t="s">
        <v>199</v>
      </c>
      <c r="B22" s="6" t="s">
        <v>114</v>
      </c>
      <c r="C22" s="6" t="s">
        <v>164</v>
      </c>
      <c r="D22" s="6" t="s">
        <v>200</v>
      </c>
      <c r="E22" s="6" t="s">
        <v>201</v>
      </c>
      <c r="F22" s="6" t="s">
        <v>202</v>
      </c>
      <c r="G22" s="6" t="s">
        <v>158</v>
      </c>
      <c r="H22" s="6" t="s">
        <v>120</v>
      </c>
      <c r="I22" s="6" t="s">
        <v>77</v>
      </c>
      <c r="J22" s="6">
        <v>5.0</v>
      </c>
      <c r="K22" s="6" t="s">
        <v>104</v>
      </c>
      <c r="L22" s="6" t="s">
        <v>64</v>
      </c>
      <c r="M22" s="8">
        <f t="shared" si="1"/>
        <v>0</v>
      </c>
      <c r="N22" s="6" t="s">
        <v>85</v>
      </c>
      <c r="O22" s="7"/>
    </row>
    <row r="23">
      <c r="A23" s="6" t="s">
        <v>203</v>
      </c>
      <c r="B23" s="6" t="s">
        <v>204</v>
      </c>
      <c r="C23" s="6" t="s">
        <v>170</v>
      </c>
      <c r="D23" s="6" t="s">
        <v>205</v>
      </c>
      <c r="E23" s="6" t="s">
        <v>206</v>
      </c>
      <c r="F23" s="6" t="s">
        <v>207</v>
      </c>
      <c r="G23" s="6" t="s">
        <v>208</v>
      </c>
      <c r="H23" s="6" t="s">
        <v>120</v>
      </c>
      <c r="I23" s="6" t="s">
        <v>77</v>
      </c>
      <c r="J23" s="6">
        <v>5.0</v>
      </c>
      <c r="K23" s="6" t="s">
        <v>104</v>
      </c>
      <c r="L23" s="6" t="s">
        <v>64</v>
      </c>
      <c r="M23" s="8">
        <f t="shared" si="1"/>
        <v>0</v>
      </c>
      <c r="N23" s="6" t="s">
        <v>85</v>
      </c>
      <c r="O23" s="7"/>
    </row>
    <row r="24">
      <c r="A24" s="6" t="s">
        <v>209</v>
      </c>
      <c r="B24" s="6" t="s">
        <v>204</v>
      </c>
      <c r="C24" s="6" t="s">
        <v>170</v>
      </c>
      <c r="D24" s="6" t="s">
        <v>210</v>
      </c>
      <c r="E24" s="6" t="s">
        <v>211</v>
      </c>
      <c r="F24" s="6" t="s">
        <v>212</v>
      </c>
      <c r="G24" s="6" t="s">
        <v>208</v>
      </c>
      <c r="H24" s="6" t="s">
        <v>213</v>
      </c>
      <c r="I24" s="6" t="s">
        <v>77</v>
      </c>
      <c r="J24" s="6">
        <v>8.0</v>
      </c>
      <c r="K24" s="6" t="s">
        <v>43</v>
      </c>
      <c r="L24" s="6" t="s">
        <v>64</v>
      </c>
      <c r="M24" s="8">
        <f t="shared" si="1"/>
        <v>0</v>
      </c>
      <c r="N24" s="6" t="s">
        <v>85</v>
      </c>
      <c r="O24" s="7"/>
    </row>
    <row r="25">
      <c r="A25" s="6" t="s">
        <v>214</v>
      </c>
      <c r="B25" s="6" t="s">
        <v>204</v>
      </c>
      <c r="C25" s="6" t="s">
        <v>170</v>
      </c>
      <c r="D25" s="6" t="s">
        <v>215</v>
      </c>
      <c r="E25" s="6" t="s">
        <v>216</v>
      </c>
      <c r="F25" s="6" t="s">
        <v>217</v>
      </c>
      <c r="G25" s="6" t="s">
        <v>208</v>
      </c>
      <c r="H25" s="6" t="s">
        <v>218</v>
      </c>
      <c r="I25" s="6" t="s">
        <v>77</v>
      </c>
      <c r="J25" s="6">
        <v>3.0</v>
      </c>
      <c r="K25" s="6" t="s">
        <v>43</v>
      </c>
      <c r="L25" s="6" t="s">
        <v>64</v>
      </c>
      <c r="M25" s="8">
        <f t="shared" si="1"/>
        <v>0</v>
      </c>
      <c r="N25" s="6" t="s">
        <v>85</v>
      </c>
      <c r="O25" s="7"/>
    </row>
    <row r="26">
      <c r="A26" s="6" t="s">
        <v>219</v>
      </c>
      <c r="B26" s="6" t="s">
        <v>204</v>
      </c>
      <c r="C26" s="6" t="s">
        <v>170</v>
      </c>
      <c r="D26" s="6" t="s">
        <v>220</v>
      </c>
      <c r="E26" s="6" t="s">
        <v>221</v>
      </c>
      <c r="F26" s="6" t="s">
        <v>222</v>
      </c>
      <c r="G26" s="6" t="s">
        <v>223</v>
      </c>
      <c r="H26" s="6" t="s">
        <v>160</v>
      </c>
      <c r="I26" s="6" t="s">
        <v>77</v>
      </c>
      <c r="J26" s="6">
        <v>3.0</v>
      </c>
      <c r="K26" s="6" t="s">
        <v>104</v>
      </c>
      <c r="L26" s="6" t="s">
        <v>64</v>
      </c>
      <c r="M26" s="8">
        <f t="shared" si="1"/>
        <v>0</v>
      </c>
      <c r="N26" s="6" t="s">
        <v>85</v>
      </c>
      <c r="O26" s="7"/>
    </row>
    <row r="27">
      <c r="I27" s="10"/>
      <c r="K27" s="10"/>
      <c r="L27" s="10"/>
      <c r="M27" s="11"/>
    </row>
    <row r="28">
      <c r="I28" s="10"/>
      <c r="K28" s="10"/>
      <c r="L28" s="10"/>
      <c r="M28" s="11"/>
    </row>
    <row r="29">
      <c r="I29" s="10"/>
      <c r="K29" s="10"/>
      <c r="L29" s="10"/>
      <c r="M29" s="11"/>
    </row>
    <row r="30">
      <c r="I30" s="10"/>
      <c r="K30" s="10"/>
      <c r="L30" s="10"/>
      <c r="M30" s="11"/>
    </row>
    <row r="31">
      <c r="I31" s="10"/>
      <c r="K31" s="10"/>
      <c r="L31" s="10"/>
      <c r="M31" s="11"/>
    </row>
    <row r="32">
      <c r="I32" s="10"/>
      <c r="K32" s="10"/>
      <c r="L32" s="10"/>
      <c r="M32" s="11"/>
    </row>
    <row r="33">
      <c r="I33" s="10"/>
      <c r="K33" s="10"/>
      <c r="L33" s="10"/>
      <c r="M33" s="11"/>
    </row>
    <row r="34">
      <c r="I34" s="10"/>
      <c r="K34" s="10"/>
      <c r="L34" s="10"/>
      <c r="M34" s="11"/>
    </row>
    <row r="35">
      <c r="I35" s="10"/>
      <c r="K35" s="10"/>
      <c r="L35" s="10"/>
      <c r="M35" s="11"/>
    </row>
    <row r="36">
      <c r="I36" s="10"/>
      <c r="K36" s="10"/>
      <c r="L36" s="10"/>
      <c r="M36" s="11"/>
    </row>
    <row r="37">
      <c r="I37" s="10"/>
      <c r="K37" s="10"/>
      <c r="L37" s="10"/>
      <c r="M37" s="11"/>
    </row>
    <row r="38">
      <c r="I38" s="10"/>
      <c r="K38" s="10"/>
      <c r="L38" s="10"/>
      <c r="M38" s="11"/>
    </row>
    <row r="39">
      <c r="I39" s="10"/>
      <c r="K39" s="10"/>
      <c r="L39" s="10"/>
      <c r="M39" s="11"/>
    </row>
    <row r="40">
      <c r="I40" s="10"/>
      <c r="K40" s="10"/>
      <c r="L40" s="10"/>
      <c r="M40" s="11"/>
    </row>
    <row r="41">
      <c r="I41" s="10"/>
      <c r="K41" s="10"/>
      <c r="L41" s="10"/>
      <c r="M41" s="11"/>
    </row>
    <row r="42">
      <c r="I42" s="10"/>
      <c r="K42" s="10"/>
      <c r="L42" s="10"/>
      <c r="M42" s="11"/>
    </row>
    <row r="43">
      <c r="I43" s="10"/>
      <c r="K43" s="10"/>
      <c r="L43" s="10"/>
      <c r="M43" s="11"/>
    </row>
    <row r="44">
      <c r="I44" s="10"/>
      <c r="K44" s="10"/>
      <c r="L44" s="10"/>
      <c r="M44" s="11"/>
    </row>
    <row r="45">
      <c r="I45" s="10"/>
      <c r="K45" s="10"/>
      <c r="L45" s="10"/>
      <c r="M45" s="11"/>
    </row>
    <row r="46">
      <c r="I46" s="10"/>
      <c r="K46" s="10"/>
      <c r="L46" s="10"/>
      <c r="M46" s="11"/>
    </row>
    <row r="47">
      <c r="I47" s="10"/>
      <c r="K47" s="10"/>
      <c r="L47" s="10"/>
      <c r="M47" s="11"/>
    </row>
    <row r="48">
      <c r="I48" s="10"/>
      <c r="K48" s="10"/>
      <c r="L48" s="10"/>
      <c r="M48" s="11"/>
    </row>
    <row r="49">
      <c r="I49" s="10"/>
      <c r="K49" s="10"/>
      <c r="L49" s="10"/>
      <c r="M49" s="11"/>
    </row>
    <row r="50">
      <c r="I50" s="10"/>
      <c r="K50" s="10"/>
      <c r="L50" s="10"/>
      <c r="M50" s="11"/>
    </row>
    <row r="51">
      <c r="I51" s="10"/>
      <c r="K51" s="10"/>
      <c r="L51" s="10"/>
      <c r="M51" s="11"/>
    </row>
    <row r="52">
      <c r="I52" s="10"/>
      <c r="K52" s="10"/>
      <c r="L52" s="10"/>
      <c r="M52" s="11"/>
    </row>
    <row r="53">
      <c r="I53" s="10"/>
      <c r="K53" s="10"/>
      <c r="L53" s="10"/>
      <c r="M53" s="11"/>
    </row>
    <row r="54">
      <c r="I54" s="10"/>
      <c r="K54" s="10"/>
      <c r="L54" s="10"/>
      <c r="M54" s="11"/>
    </row>
    <row r="55">
      <c r="I55" s="10"/>
      <c r="K55" s="10"/>
      <c r="L55" s="10"/>
      <c r="M55" s="11"/>
    </row>
    <row r="56">
      <c r="I56" s="10"/>
      <c r="K56" s="10"/>
      <c r="L56" s="10"/>
      <c r="M56" s="11"/>
    </row>
    <row r="57">
      <c r="I57" s="10"/>
      <c r="K57" s="10"/>
      <c r="L57" s="10"/>
      <c r="M57" s="11"/>
    </row>
    <row r="58">
      <c r="I58" s="10"/>
      <c r="K58" s="10"/>
      <c r="L58" s="10"/>
      <c r="M58" s="11"/>
    </row>
    <row r="59">
      <c r="I59" s="10"/>
      <c r="K59" s="10"/>
      <c r="L59" s="10"/>
      <c r="M59" s="11"/>
    </row>
    <row r="60">
      <c r="I60" s="10"/>
      <c r="K60" s="10"/>
      <c r="L60" s="10"/>
      <c r="M60" s="11"/>
    </row>
    <row r="61">
      <c r="I61" s="10"/>
      <c r="K61" s="10"/>
      <c r="L61" s="10"/>
      <c r="M61" s="11"/>
    </row>
    <row r="62">
      <c r="I62" s="10"/>
      <c r="K62" s="10"/>
      <c r="L62" s="10"/>
      <c r="M62" s="11"/>
    </row>
    <row r="63">
      <c r="I63" s="10"/>
      <c r="K63" s="10"/>
      <c r="L63" s="10"/>
      <c r="M63" s="11"/>
    </row>
    <row r="64">
      <c r="I64" s="10"/>
      <c r="K64" s="10"/>
      <c r="L64" s="10"/>
      <c r="M64" s="11"/>
    </row>
    <row r="65">
      <c r="I65" s="10"/>
      <c r="K65" s="10"/>
      <c r="L65" s="10"/>
      <c r="M65" s="11"/>
    </row>
    <row r="66">
      <c r="I66" s="10"/>
      <c r="K66" s="10"/>
      <c r="L66" s="10"/>
      <c r="M66" s="11"/>
    </row>
    <row r="67">
      <c r="I67" s="10"/>
      <c r="K67" s="10"/>
      <c r="L67" s="10"/>
      <c r="M67" s="11"/>
    </row>
    <row r="68">
      <c r="I68" s="10"/>
      <c r="K68" s="10"/>
      <c r="L68" s="10"/>
      <c r="M68" s="11"/>
    </row>
    <row r="69">
      <c r="I69" s="10"/>
      <c r="K69" s="10"/>
      <c r="L69" s="10"/>
      <c r="M69" s="11"/>
    </row>
    <row r="70">
      <c r="I70" s="10"/>
      <c r="K70" s="10"/>
      <c r="L70" s="10"/>
      <c r="M70" s="11"/>
    </row>
    <row r="71">
      <c r="I71" s="10"/>
      <c r="K71" s="10"/>
      <c r="L71" s="10"/>
      <c r="M71" s="11"/>
    </row>
    <row r="72">
      <c r="I72" s="10"/>
      <c r="K72" s="10"/>
      <c r="L72" s="10"/>
      <c r="M72" s="11"/>
    </row>
    <row r="73">
      <c r="I73" s="10"/>
      <c r="K73" s="10"/>
      <c r="L73" s="10"/>
      <c r="M73" s="11"/>
    </row>
    <row r="74">
      <c r="I74" s="10"/>
      <c r="K74" s="10"/>
      <c r="L74" s="10"/>
      <c r="M74" s="11"/>
    </row>
    <row r="75">
      <c r="I75" s="10"/>
      <c r="K75" s="10"/>
      <c r="L75" s="10"/>
      <c r="M75" s="11"/>
    </row>
    <row r="76">
      <c r="I76" s="10"/>
      <c r="K76" s="10"/>
      <c r="L76" s="10"/>
      <c r="M76" s="11"/>
    </row>
    <row r="77">
      <c r="I77" s="10"/>
      <c r="K77" s="10"/>
      <c r="L77" s="10"/>
      <c r="M77" s="11"/>
    </row>
    <row r="78">
      <c r="I78" s="10"/>
      <c r="K78" s="10"/>
      <c r="L78" s="10"/>
      <c r="M78" s="11"/>
    </row>
    <row r="79">
      <c r="I79" s="10"/>
      <c r="K79" s="10"/>
      <c r="L79" s="10"/>
      <c r="M79" s="11"/>
    </row>
    <row r="80">
      <c r="I80" s="10"/>
      <c r="K80" s="10"/>
      <c r="L80" s="10"/>
      <c r="M80" s="11"/>
    </row>
    <row r="81">
      <c r="I81" s="10"/>
      <c r="K81" s="10"/>
      <c r="L81" s="10"/>
      <c r="M81" s="11"/>
    </row>
    <row r="82">
      <c r="I82" s="10"/>
      <c r="K82" s="10"/>
      <c r="L82" s="10"/>
      <c r="M82" s="11"/>
    </row>
    <row r="83">
      <c r="I83" s="10"/>
      <c r="K83" s="10"/>
      <c r="L83" s="10"/>
      <c r="M83" s="11"/>
    </row>
    <row r="84">
      <c r="I84" s="10"/>
      <c r="K84" s="10"/>
      <c r="L84" s="10"/>
      <c r="M84" s="11"/>
    </row>
    <row r="85">
      <c r="I85" s="10"/>
      <c r="K85" s="10"/>
      <c r="L85" s="10"/>
      <c r="M85" s="11"/>
    </row>
    <row r="86">
      <c r="I86" s="10"/>
      <c r="K86" s="10"/>
      <c r="L86" s="10"/>
      <c r="M86" s="11"/>
    </row>
    <row r="87">
      <c r="I87" s="10"/>
      <c r="K87" s="10"/>
      <c r="L87" s="10"/>
      <c r="M87" s="11"/>
    </row>
    <row r="88">
      <c r="I88" s="10"/>
      <c r="K88" s="10"/>
      <c r="L88" s="10"/>
      <c r="M88" s="11"/>
    </row>
    <row r="89">
      <c r="I89" s="10"/>
      <c r="K89" s="10"/>
      <c r="L89" s="10"/>
      <c r="M89" s="11"/>
    </row>
    <row r="90">
      <c r="I90" s="10"/>
      <c r="K90" s="10"/>
      <c r="L90" s="10"/>
      <c r="M90" s="11"/>
    </row>
    <row r="91">
      <c r="I91" s="10"/>
      <c r="K91" s="10"/>
      <c r="L91" s="10"/>
      <c r="M91" s="11"/>
    </row>
    <row r="92">
      <c r="I92" s="10"/>
      <c r="K92" s="10"/>
      <c r="L92" s="10"/>
      <c r="M92" s="11"/>
    </row>
    <row r="93">
      <c r="I93" s="10"/>
      <c r="K93" s="10"/>
      <c r="L93" s="10"/>
      <c r="M93" s="11"/>
    </row>
    <row r="94">
      <c r="I94" s="10"/>
      <c r="K94" s="10"/>
      <c r="L94" s="10"/>
      <c r="M94" s="11"/>
    </row>
    <row r="95">
      <c r="I95" s="10"/>
      <c r="K95" s="10"/>
      <c r="L95" s="10"/>
      <c r="M95" s="11"/>
    </row>
    <row r="96">
      <c r="I96" s="10"/>
      <c r="K96" s="10"/>
      <c r="L96" s="10"/>
      <c r="M96" s="11"/>
    </row>
    <row r="97">
      <c r="I97" s="10"/>
      <c r="K97" s="10"/>
      <c r="L97" s="10"/>
      <c r="M97" s="11"/>
    </row>
    <row r="98">
      <c r="I98" s="10"/>
      <c r="K98" s="10"/>
      <c r="L98" s="10"/>
      <c r="M98" s="11"/>
    </row>
    <row r="99">
      <c r="I99" s="10"/>
      <c r="K99" s="10"/>
      <c r="L99" s="10"/>
      <c r="M99" s="11"/>
    </row>
    <row r="100">
      <c r="I100" s="10"/>
      <c r="K100" s="10"/>
      <c r="L100" s="10"/>
      <c r="M100" s="11"/>
    </row>
  </sheetData>
  <dataValidations>
    <dataValidation type="list" allowBlank="1" sqref="L2:L100">
      <formula1>"Por Hacer,En Progreso,En Revisión / QA,Completado,Bloqueado"</formula1>
    </dataValidation>
    <dataValidation type="list" allowBlank="1" sqref="K2:K100">
      <formula1>"Sprint 1,Sprint 2,Sprint 3,Sprint 4"</formula1>
    </dataValidation>
    <dataValidation type="list" allowBlank="1" sqref="I2:I100">
      <formula1>"Alta,Media,Baja"</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43.88"/>
    <col customWidth="1" min="3" max="7" width="18.88"/>
  </cols>
  <sheetData>
    <row r="1">
      <c r="A1" s="5" t="s">
        <v>25</v>
      </c>
      <c r="B1" s="5" t="s">
        <v>28</v>
      </c>
      <c r="C1" s="5" t="s">
        <v>31</v>
      </c>
      <c r="D1" s="5" t="s">
        <v>33</v>
      </c>
      <c r="E1" s="5" t="s">
        <v>35</v>
      </c>
      <c r="F1" s="5" t="s">
        <v>38</v>
      </c>
      <c r="G1" s="5" t="s">
        <v>39</v>
      </c>
    </row>
    <row r="2">
      <c r="A2" s="6" t="s">
        <v>43</v>
      </c>
      <c r="B2" s="6" t="s">
        <v>49</v>
      </c>
      <c r="C2" s="7">
        <f>COUNTIFS('Product Backlog'!K:K, A2)</f>
        <v>7</v>
      </c>
      <c r="D2" s="7">
        <f>SUMIFS('Product Backlog'!J:J, 'Product Backlog'!K:K, A2)</f>
        <v>32</v>
      </c>
      <c r="E2" s="7">
        <f>SUMIFS('Product Backlog'!J:J, 'Product Backlog'!K:K, A2, 'Product Backlog'!L:L, "Completado")</f>
        <v>0</v>
      </c>
      <c r="F2" s="7">
        <f t="shared" ref="F2:F5" si="1">D2 - E2</f>
        <v>32</v>
      </c>
      <c r="G2" s="8">
        <f t="shared" ref="G2:G5" si="2">IFERROR(E2 / D2, 0)</f>
        <v>0</v>
      </c>
    </row>
    <row r="3">
      <c r="A3" s="6" t="s">
        <v>82</v>
      </c>
      <c r="B3" s="6" t="s">
        <v>83</v>
      </c>
      <c r="C3" s="7">
        <f>COUNTIFS('Product Backlog'!K:K, A3)</f>
        <v>6</v>
      </c>
      <c r="D3" s="7">
        <f>SUMIFS('Product Backlog'!J:J, 'Product Backlog'!K:K, A3)</f>
        <v>31</v>
      </c>
      <c r="E3" s="7">
        <f>SUMIFS('Product Backlog'!J:J, 'Product Backlog'!K:K, A3, 'Product Backlog'!L:L, "Completado")</f>
        <v>0</v>
      </c>
      <c r="F3" s="7">
        <f t="shared" si="1"/>
        <v>31</v>
      </c>
      <c r="G3" s="8">
        <f t="shared" si="2"/>
        <v>0</v>
      </c>
    </row>
    <row r="4">
      <c r="A4" s="6" t="s">
        <v>94</v>
      </c>
      <c r="B4" s="6" t="s">
        <v>95</v>
      </c>
      <c r="C4" s="7">
        <f>COUNTIFS('Product Backlog'!K:K, A4)</f>
        <v>6</v>
      </c>
      <c r="D4" s="7">
        <f>SUMIFS('Product Backlog'!J:J, 'Product Backlog'!K:K, A4)</f>
        <v>47</v>
      </c>
      <c r="E4" s="7">
        <f>SUMIFS('Product Backlog'!J:J, 'Product Backlog'!K:K, A4, 'Product Backlog'!L:L, "Completado")</f>
        <v>0</v>
      </c>
      <c r="F4" s="7">
        <f t="shared" si="1"/>
        <v>47</v>
      </c>
      <c r="G4" s="8">
        <f t="shared" si="2"/>
        <v>0</v>
      </c>
    </row>
    <row r="5">
      <c r="A5" s="6" t="s">
        <v>104</v>
      </c>
      <c r="B5" s="6" t="s">
        <v>105</v>
      </c>
      <c r="C5" s="7">
        <f>COUNTIFS('Product Backlog'!K:K, A5)</f>
        <v>6</v>
      </c>
      <c r="D5" s="7">
        <f>SUMIFS('Product Backlog'!J:J, 'Product Backlog'!K:K, A5)</f>
        <v>26</v>
      </c>
      <c r="E5" s="7">
        <f>SUMIFS('Product Backlog'!J:J, 'Product Backlog'!K:K, A5, 'Product Backlog'!L:L, "Completado")</f>
        <v>0</v>
      </c>
      <c r="F5" s="7">
        <f t="shared" si="1"/>
        <v>26</v>
      </c>
      <c r="G5" s="8">
        <f t="shared" si="2"/>
        <v>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50.13"/>
    <col customWidth="1" min="3" max="3" width="25.13"/>
  </cols>
  <sheetData>
    <row r="1">
      <c r="A1" s="1" t="s">
        <v>10</v>
      </c>
      <c r="B1" s="1" t="s">
        <v>13</v>
      </c>
      <c r="C1" s="2"/>
    </row>
    <row r="2">
      <c r="A2" s="3" t="s">
        <v>16</v>
      </c>
      <c r="B2" s="3" t="s">
        <v>17</v>
      </c>
      <c r="C2" s="2"/>
    </row>
    <row r="3">
      <c r="A3" s="3" t="s">
        <v>18</v>
      </c>
      <c r="B3" s="3" t="s">
        <v>20</v>
      </c>
      <c r="C3" s="2"/>
    </row>
    <row r="4">
      <c r="A4" s="2"/>
      <c r="B4" s="2"/>
      <c r="C4" s="2"/>
    </row>
    <row r="5">
      <c r="A5" s="1" t="s">
        <v>21</v>
      </c>
      <c r="B5" s="1" t="s">
        <v>22</v>
      </c>
      <c r="C5" s="2"/>
    </row>
    <row r="6">
      <c r="A6" s="3" t="s">
        <v>23</v>
      </c>
      <c r="B6" s="3" t="s">
        <v>24</v>
      </c>
      <c r="C6" s="2"/>
    </row>
    <row r="7">
      <c r="A7" s="3" t="s">
        <v>26</v>
      </c>
      <c r="B7" s="3" t="s">
        <v>27</v>
      </c>
      <c r="C7" s="2"/>
    </row>
    <row r="8">
      <c r="A8" s="3" t="s">
        <v>26</v>
      </c>
      <c r="B8" s="3" t="s">
        <v>30</v>
      </c>
      <c r="C8" s="2"/>
    </row>
    <row r="9">
      <c r="A9" s="2"/>
      <c r="B9" s="2"/>
      <c r="C9" s="2"/>
    </row>
    <row r="10">
      <c r="A10" s="1" t="s">
        <v>36</v>
      </c>
      <c r="B10" s="1" t="s">
        <v>22</v>
      </c>
      <c r="C10" s="2"/>
    </row>
    <row r="11">
      <c r="A11" s="3">
        <v>1.0</v>
      </c>
      <c r="B11" s="3" t="s">
        <v>42</v>
      </c>
      <c r="C11" s="2"/>
    </row>
    <row r="12">
      <c r="A12" s="3">
        <v>2.0</v>
      </c>
      <c r="B12" s="3" t="s">
        <v>46</v>
      </c>
      <c r="C12" s="2"/>
    </row>
    <row r="13">
      <c r="A13" s="3">
        <v>3.0</v>
      </c>
      <c r="B13" s="3" t="s">
        <v>48</v>
      </c>
      <c r="C13" s="2"/>
    </row>
    <row r="14">
      <c r="A14" s="2"/>
      <c r="B14" s="2"/>
      <c r="C14" s="2"/>
    </row>
    <row r="15">
      <c r="A15" s="1" t="s">
        <v>53</v>
      </c>
      <c r="B15" s="1" t="s">
        <v>55</v>
      </c>
      <c r="C15" s="1" t="s">
        <v>56</v>
      </c>
    </row>
    <row r="16">
      <c r="A16" s="3" t="s">
        <v>57</v>
      </c>
      <c r="B16" s="3" t="s">
        <v>58</v>
      </c>
      <c r="C16" s="2"/>
    </row>
    <row r="17">
      <c r="A17" s="3" t="s">
        <v>59</v>
      </c>
      <c r="B17" s="3" t="s">
        <v>58</v>
      </c>
      <c r="C17" s="2"/>
    </row>
    <row r="18">
      <c r="A18" s="2"/>
      <c r="B18" s="2"/>
      <c r="C18" s="2"/>
    </row>
    <row r="19">
      <c r="A19" s="1" t="s">
        <v>3</v>
      </c>
      <c r="B19" s="1" t="s">
        <v>60</v>
      </c>
      <c r="C19" s="2"/>
    </row>
    <row r="20">
      <c r="A20" s="3" t="s">
        <v>61</v>
      </c>
      <c r="B20" s="3" t="s">
        <v>63</v>
      </c>
      <c r="C20" s="2"/>
    </row>
    <row r="21">
      <c r="A21" s="3" t="s">
        <v>65</v>
      </c>
      <c r="B21" s="3" t="s">
        <v>67</v>
      </c>
      <c r="C21" s="2"/>
    </row>
    <row r="22">
      <c r="A22" s="3" t="s">
        <v>69</v>
      </c>
      <c r="B22" s="3" t="s">
        <v>67</v>
      </c>
      <c r="C22" s="2"/>
    </row>
    <row r="23">
      <c r="A23" s="3" t="s">
        <v>71</v>
      </c>
      <c r="B23" s="3" t="s">
        <v>73</v>
      </c>
      <c r="C23" s="2"/>
    </row>
  </sheetData>
  <drawing r:id="rId1"/>
</worksheet>
</file>